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defaultThemeVersion="124226"/>
  <xr:revisionPtr revIDLastSave="0" documentId="13_ncr:1_{432C3670-3A8A-4916-AEE5-722909B7A0FE}" xr6:coauthVersionLast="47" xr6:coauthVersionMax="47" xr10:uidLastSave="{00000000-0000-0000-0000-000000000000}"/>
  <bookViews>
    <workbookView xWindow="-108" yWindow="-108" windowWidth="23256" windowHeight="12576" tabRatio="818" xr2:uid="{00000000-000D-0000-FFFF-FFFF00000000}"/>
  </bookViews>
  <sheets>
    <sheet name="Contents" sheetId="1" r:id="rId1"/>
    <sheet name="1. Key Projections" sheetId="65" r:id="rId2"/>
    <sheet name="1a. Key Proj, Supp Data" sheetId="54" r:id="rId3"/>
    <sheet name="2. Debt and Deficits" sheetId="43" r:id="rId4"/>
    <sheet name="3. Outlays and Revenues" sheetId="44" r:id="rId5"/>
    <sheet name="4. Outlays, by Category" sheetId="68" r:id="rId6"/>
    <sheet name="5. Composition of Outlays" sheetId="37" r:id="rId7"/>
    <sheet name="6. Outlays for Health Care" sheetId="66" r:id="rId8"/>
    <sheet name="7. Growth in Outlays" sheetId="47" r:id="rId9"/>
    <sheet name="8. Revenues, by Source" sheetId="48" r:id="rId10"/>
    <sheet name="9. Income Tax Rates" sheetId="50" r:id="rId11"/>
    <sheet name="10. Population Growth" sheetId="62" r:id="rId12"/>
    <sheet name="11. Pop, by Age Group" sheetId="61" r:id="rId13"/>
    <sheet name="12. Key Econ Variables" sheetId="72" r:id="rId14"/>
    <sheet name="13. Add'l Econ Variables" sheetId="59" r:id="rId15"/>
    <sheet name="14. GDP Growth" sheetId="6" r:id="rId16"/>
    <sheet name="15. Interest Rates" sheetId="56" r:id="rId17"/>
    <sheet name="16. 2025&amp;2026 Econ Proj" sheetId="57" r:id="rId18"/>
    <sheet name="17. 2025&amp;2026 Lbr Force Proj" sheetId="69" r:id="rId19"/>
    <sheet name="18. 2025&amp;2026 Real GDP Proj" sheetId="70" r:id="rId20"/>
    <sheet name="19. 2025&amp;2026 Int Rate Proj" sheetId="71" r:id="rId21"/>
    <sheet name="20. 2025&amp;2026 Proj, Select Yrs" sheetId="28" r:id="rId22"/>
    <sheet name="21. 2025&amp;2026 Def &amp; Debt" sheetId="29" r:id="rId23"/>
    <sheet name="22. 2025&amp;2026 Outlay Proj" sheetId="30" r:id="rId24"/>
    <sheet name="23. 2025&amp;2026 Rev Proj" sheetId="31" r:id="rId25"/>
  </sheets>
  <definedNames>
    <definedName name="CurrentYear" localSheetId="2">#REF!</definedName>
    <definedName name="CurrentYear">#REF!</definedName>
    <definedName name="dfsf" localSheetId="11">#REF!</definedName>
    <definedName name="dfsf" localSheetId="12">#REF!</definedName>
    <definedName name="dfsf" localSheetId="15">#REF!</definedName>
    <definedName name="dfsf" localSheetId="16">#REF!</definedName>
    <definedName name="dfsf" localSheetId="22">#REF!</definedName>
    <definedName name="dfsf" localSheetId="23">#REF!</definedName>
    <definedName name="dfsf" localSheetId="24">#REF!</definedName>
    <definedName name="fromyear" localSheetId="2">#REF!</definedName>
    <definedName name="fromyear">#REF!</definedName>
    <definedName name="grow" localSheetId="22">#REF!</definedName>
    <definedName name="grow" localSheetId="23">#REF!</definedName>
    <definedName name="grow" localSheetId="24">#REF!</definedName>
    <definedName name="population_and_dependency_ratios" localSheetId="11">'10. Population Growth'!#REF!</definedName>
    <definedName name="population_and_dependency_ratios" localSheetId="12">'11. Pop, by Age Group'!#REF!</definedName>
    <definedName name="sdf" localSheetId="11">#REF!</definedName>
    <definedName name="sdf" localSheetId="12">#REF!</definedName>
    <definedName name="sdf" localSheetId="15">#REF!</definedName>
    <definedName name="sdf" localSheetId="16">#REF!</definedName>
    <definedName name="sdf" localSheetId="22">#REF!</definedName>
    <definedName name="sdf" localSheetId="23">#REF!</definedName>
    <definedName name="sdf" localSheetId="24">#REF!</definedName>
    <definedName name="TABLE3" localSheetId="11">#REF!</definedName>
    <definedName name="TABLE3" localSheetId="12">#REF!</definedName>
    <definedName name="TABLE3" localSheetId="15">#REF!</definedName>
    <definedName name="TABLE3" localSheetId="16">#REF!</definedName>
    <definedName name="TABLE3" localSheetId="22">#REF!</definedName>
    <definedName name="TABLE3" localSheetId="23">#REF!</definedName>
    <definedName name="TABLE3" localSheetId="24">#REF!</definedName>
    <definedName name="toyear" localSheetId="2">#REF!</definedName>
    <definedName name="toyea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1" l="1"/>
  <c r="A33" i="1"/>
  <c r="A32" i="1"/>
  <c r="A31" i="1"/>
  <c r="A30" i="1"/>
  <c r="A29" i="1"/>
  <c r="A28" i="1"/>
  <c r="A27" i="1"/>
  <c r="A26" i="1"/>
  <c r="A25" i="1"/>
  <c r="A24" i="1"/>
  <c r="A23" i="1"/>
  <c r="A22" i="1"/>
  <c r="A21" i="1"/>
  <c r="A20" i="1"/>
  <c r="A19" i="1"/>
  <c r="A18" i="1"/>
  <c r="A17" i="1"/>
  <c r="A16" i="1"/>
  <c r="A15" i="1"/>
  <c r="A14" i="1"/>
  <c r="A13" i="1"/>
  <c r="A12" i="1"/>
  <c r="A11" i="1"/>
</calcChain>
</file>

<file path=xl/sharedStrings.xml><?xml version="1.0" encoding="utf-8"?>
<sst xmlns="http://schemas.openxmlformats.org/spreadsheetml/2006/main" count="455" uniqueCount="216">
  <si>
    <t>www.cbo.gov/publication/62044</t>
  </si>
  <si>
    <t>Contents</t>
  </si>
  <si>
    <t xml:space="preserve">Percentage of GDP
</t>
  </si>
  <si>
    <t>Revenues</t>
  </si>
  <si>
    <t>Individual income taxes</t>
  </si>
  <si>
    <t>Payroll taxes</t>
  </si>
  <si>
    <t>Corporate income taxes</t>
  </si>
  <si>
    <t>Total</t>
  </si>
  <si>
    <t>Outlays</t>
  </si>
  <si>
    <t>Mandatory</t>
  </si>
  <si>
    <t>Social Security</t>
  </si>
  <si>
    <t>Other</t>
  </si>
  <si>
    <t>Subtotal</t>
  </si>
  <si>
    <t>Discretionary</t>
  </si>
  <si>
    <t>Net interest</t>
  </si>
  <si>
    <t>Debt held by the public at the end of the period</t>
  </si>
  <si>
    <t>Addendum:</t>
  </si>
  <si>
    <t>Medicare</t>
  </si>
  <si>
    <t>Offsetting receipts</t>
  </si>
  <si>
    <t>GDP at the end of the period (trillions of dollars)</t>
  </si>
  <si>
    <t>Data Source: Congressional Budget Office.</t>
  </si>
  <si>
    <t xml:space="preserve">This table provides information specified in section 3111 of S. Con. Res. 11, the Concurrent Resolution on the Budget for Fiscal Year 2016. </t>
  </si>
  <si>
    <t xml:space="preserve">When October 1 (the first day of the fiscal year) falls on a weekend, certain payments that ordinarily would have been made on that day are instead made at the end of September and thus are shifted into the previous fiscal year. All projections have been adjusted to exclude the effects of those timing shifts. </t>
  </si>
  <si>
    <t>Back to Table of Contents</t>
  </si>
  <si>
    <r>
      <t>Outlays</t>
    </r>
    <r>
      <rPr>
        <vertAlign val="superscript"/>
        <sz val="11"/>
        <color theme="1"/>
        <rFont val="Arial"/>
        <family val="2"/>
      </rPr>
      <t>b</t>
    </r>
  </si>
  <si>
    <t> </t>
  </si>
  <si>
    <t>Data source: Congressional Budget Office.</t>
  </si>
  <si>
    <t>a. Includes payroll taxes other than those paid by the federal government on behalf of its employees; those payments are intragovernmental transactions. Also includes income taxes paid on Social Security benefits, which are credited to the Social Security trust funds.</t>
  </si>
  <si>
    <t>b. Does not include outlays related to the administration of the program, which are discretionary. For Social Security, outlays do not include intragovernmental offsetting receipts stemming from the employer’s share of payroll taxes paid to the Social Security trust funds by federal agencies on behalf of their employees.</t>
  </si>
  <si>
    <t>1996–2025</t>
  </si>
  <si>
    <t>2026–2036</t>
  </si>
  <si>
    <t>2037–2046</t>
  </si>
  <si>
    <t>2047–2056</t>
  </si>
  <si>
    <t>Overall, 2026–2056</t>
  </si>
  <si>
    <t>Percent</t>
  </si>
  <si>
    <t xml:space="preserve">Unemployment </t>
  </si>
  <si>
    <r>
      <t>Unemployment rate</t>
    </r>
    <r>
      <rPr>
        <vertAlign val="superscript"/>
        <sz val="11"/>
        <color theme="1"/>
        <rFont val="Arial"/>
        <family val="2"/>
      </rPr>
      <t>a</t>
    </r>
  </si>
  <si>
    <r>
      <t>Noncyclical rate of unemployment</t>
    </r>
    <r>
      <rPr>
        <vertAlign val="superscript"/>
        <sz val="11"/>
        <color theme="1"/>
        <rFont val="Arial"/>
        <family val="2"/>
      </rPr>
      <t>b</t>
    </r>
  </si>
  <si>
    <t>Growth of average weekly hours worked</t>
  </si>
  <si>
    <t>Growth of total hours worked</t>
  </si>
  <si>
    <t xml:space="preserve">Earnings as a share of compensation </t>
  </si>
  <si>
    <t>Growth of real earnings per worker</t>
  </si>
  <si>
    <r>
      <t>Growth of total factor productivity</t>
    </r>
    <r>
      <rPr>
        <vertAlign val="superscript"/>
        <sz val="11"/>
        <color theme="1"/>
        <rFont val="Arial"/>
        <family val="2"/>
      </rPr>
      <t>c</t>
    </r>
  </si>
  <si>
    <t>Growth of labor productivity (real GDP per hour worked) </t>
  </si>
  <si>
    <t>Data sources: Congressional Budget Office; Bureau of Labor Statistics.</t>
  </si>
  <si>
    <t xml:space="preserve">Real values are nominal values that have been adjusted to remove the effects of changes in prices. </t>
  </si>
  <si>
    <t>a. The percentage of people in the labor force who are not working but are available for work and are either seeking work or expecting to be recalled from a temporary layoff.</t>
  </si>
  <si>
    <t>b. The rate of unemployment resulting from all sources except changes in aggregate demand.</t>
  </si>
  <si>
    <t>c. Total factor productivity is the average real output per unit of combined labor and capital services.</t>
  </si>
  <si>
    <t>Percentage of GDP</t>
  </si>
  <si>
    <t>Revenues </t>
  </si>
  <si>
    <t>2025 projections</t>
  </si>
  <si>
    <t>2026 projections</t>
  </si>
  <si>
    <t>Total revenues </t>
  </si>
  <si>
    <t>Subtotal, mandatory</t>
  </si>
  <si>
    <t>Net interest </t>
  </si>
  <si>
    <t>Total outlays</t>
  </si>
  <si>
    <t>Federal debt held by the public</t>
  </si>
  <si>
    <t>Noninterest spending</t>
  </si>
  <si>
    <t>d. When outlays exceed revenues, the result is a deficit. Values in this row were calculated by subtracting outlays from revenues; thus, negative values indicate deficits.</t>
  </si>
  <si>
    <t>Net interest outlays</t>
  </si>
  <si>
    <t>Projected</t>
  </si>
  <si>
    <t>Data source: Congressional Budget Office, Office of Management and Budget.</t>
  </si>
  <si>
    <t>Average, 
1976 to 2025</t>
  </si>
  <si>
    <t>Data sources: Congressional Budget Office, Office of Management and Budget.</t>
  </si>
  <si>
    <r>
      <t>Other</t>
    </r>
    <r>
      <rPr>
        <vertAlign val="superscript"/>
        <sz val="11"/>
        <rFont val="Arial"/>
        <family val="2"/>
      </rPr>
      <t>b</t>
    </r>
  </si>
  <si>
    <t xml:space="preserve">Data source: Congressional Budget Office. </t>
  </si>
  <si>
    <t xml:space="preserve"> a. Consists of outlays for Medicare (net of premiums and other offsetting receipts), Medicaid, and the Children’s Health Insurance Program, as well as premium tax credits for health insurance purchased through the marketplaces established under the Affordable Care Act and related spending. </t>
  </si>
  <si>
    <t xml:space="preserve">b. Consists of all mandatory spending other than that for Social Security and the major health care programs. “Other mandatory” includes the refundable portions of the earned income tax credit, the child tax credit, and the American Opportunity Tax Credit. </t>
  </si>
  <si>
    <t>Noninterest outlays</t>
  </si>
  <si>
    <t>Noninterest</t>
  </si>
  <si>
    <r>
      <t>Other mandatory</t>
    </r>
    <r>
      <rPr>
        <vertAlign val="superscript"/>
        <sz val="11"/>
        <color rgb="FF000000"/>
        <rFont val="Arial"/>
        <family val="2"/>
      </rPr>
      <t>a</t>
    </r>
  </si>
  <si>
    <r>
      <t>Major health care programs</t>
    </r>
    <r>
      <rPr>
        <vertAlign val="superscript"/>
        <sz val="11"/>
        <color rgb="FF000000"/>
        <rFont val="Arial"/>
        <family val="2"/>
      </rPr>
      <t>b</t>
    </r>
  </si>
  <si>
    <t>Data source: Congressional Budget Office</t>
  </si>
  <si>
    <t xml:space="preserve">a. Outlays for other mandatory spending consists of all mandatory spending other than that for Social Security and the major health care programs. “Other mandatory” includes the refundable portions of the earned income tax credit, the child tax credit, and the American Opportunity Tax Credit. </t>
  </si>
  <si>
    <t xml:space="preserve">b. Outlays for major health care programs consist of outlays for Medicare (net of premiums and other offsetting receipts), Medicaid, and the Children’s Health Insurance Program, as well as premium tax credits for health insurance purchased through the marketplaces established under the Affordable Care Act and related spending. </t>
  </si>
  <si>
    <r>
      <t>Medicare</t>
    </r>
    <r>
      <rPr>
        <vertAlign val="superscript"/>
        <sz val="11"/>
        <color theme="1"/>
        <rFont val="Arial"/>
        <family val="2"/>
      </rPr>
      <t>a</t>
    </r>
  </si>
  <si>
    <t>a. Net of premiums and other offsetting receipts.</t>
  </si>
  <si>
    <t>b. Premium tax credits subsidize the purchase of health insurance through the marketplaces established under the Affordable Care Act. Related spending is spending to subsidize health insurance provided through the Basic Health Program and to stabilize premiums for health insurance purchased by individuals and small employers.</t>
  </si>
  <si>
    <t>Outlays without the effects of additional cost growth or aging of the population</t>
  </si>
  <si>
    <t>Aging of the population</t>
  </si>
  <si>
    <t>Additional cost growth</t>
  </si>
  <si>
    <t>Major health care programs</t>
  </si>
  <si>
    <t>n.a.</t>
  </si>
  <si>
    <t xml:space="preserve">The spending on the major health care programs examined here consists of gross spending on Medicare (which does not account for premiums or other offsetting receipts), Medicaid, the Children’s Health Insurance Program, and premium tax credits and related spending. Premium tax credits subsidize the purchase of health insurance through the marketplaces established under the Affordable Care Act. Related spending is spending to subsidize health insurance provided through the Basic Health Program and to stabilize premiums for health insurance purchased by individuals and small employers. </t>
  </si>
  <si>
    <t>Additional cost growth is the amount by which the growth rate of nominal health care spending per person (adjusted to remove the effects of demographic changes) exceeds the growth rate of potential GDP per person. Potential GDP is the maximum sustainable output of the economy</t>
  </si>
  <si>
    <t>Income tax rate</t>
  </si>
  <si>
    <t>10 to 15 percent</t>
  </si>
  <si>
    <t>20 to 35 percent</t>
  </si>
  <si>
    <t>37 percent</t>
  </si>
  <si>
    <t>Net immigration</t>
  </si>
  <si>
    <t>Births minus deaths</t>
  </si>
  <si>
    <t>Population growth</t>
  </si>
  <si>
    <t>Millions of people</t>
  </si>
  <si>
    <t>24 or younger</t>
  </si>
  <si>
    <t>25 to 54</t>
  </si>
  <si>
    <t>55 to 64</t>
  </si>
  <si>
    <t>65 or older</t>
  </si>
  <si>
    <t>Potential labor force</t>
  </si>
  <si>
    <t>Potential labor force productivity</t>
  </si>
  <si>
    <t>Real potential GDP</t>
  </si>
  <si>
    <t xml:space="preserve">Real potential GDP is CBO’s estimate of the amount of real GDP that could be produced if labor and capital were employed at their maximum sustainable rates. Its growth is the sum of the growth of the potential labor force and of potential labor force productivity. The potential labor force is CBO’s estimate of how big the labor force would be if economic output and other key variables were at their maximum sustainable amounts. Potential labor force productivity is a measure of the maximum sustainable output per worker, calculated by dividing real potential GDP by the potential labor force.  </t>
  </si>
  <si>
    <t>10-year Treasury note rate</t>
  </si>
  <si>
    <t>Average rate on federal debt</t>
  </si>
  <si>
    <t>Data sources: Congressional Budget Office; Federal Reserve.</t>
  </si>
  <si>
    <t>Data are for fiscal years. The average interest rate on all federal debt held by the public equals net interest payments in the current year divided by debt held by the public at the end of the previous year.</t>
  </si>
  <si>
    <r>
      <t>Growth of real GDP</t>
    </r>
    <r>
      <rPr>
        <vertAlign val="superscript"/>
        <sz val="11"/>
        <color theme="1"/>
        <rFont val="Arial"/>
        <family val="2"/>
      </rPr>
      <t>a</t>
    </r>
  </si>
  <si>
    <t xml:space="preserve">CPI-U inflation </t>
  </si>
  <si>
    <t>Interest rate on 10-year Treasury notes</t>
  </si>
  <si>
    <t>a. Real GDP is nominal GDP that has been adjusted to remove the effects of changes in prices.</t>
  </si>
  <si>
    <t>Growth of the labor force</t>
  </si>
  <si>
    <t>Labor force participation rate</t>
  </si>
  <si>
    <t xml:space="preserve">2025 projections </t>
  </si>
  <si>
    <t>Primary deficit</t>
  </si>
  <si>
    <t>Total deficit</t>
  </si>
  <si>
    <t>Federal debt 
held by the public</t>
  </si>
  <si>
    <t>In this figure, deficits were calculated by subtracting revenues from outlays; thus, positive values indicate deficits.</t>
  </si>
  <si>
    <t xml:space="preserve">Primary deficits exclude net outlays for interest. </t>
  </si>
  <si>
    <t>d. The percentage of the civilian noninstitutionalized population age 16 or older that is in the labor force.</t>
  </si>
  <si>
    <t>b. An estimate of how big the labor force would be if economic output and other key variables were at their maximum sustainable amounts.</t>
  </si>
  <si>
    <t>a. An estimate of the amount of real GDP that could be produced if labor and capital were employed at their maximum sustainable rates.</t>
  </si>
  <si>
    <t>Real values are nominal values that have been adjusted to remove the effects of changes in prices.</t>
  </si>
  <si>
    <t>Data sources: Congressional Budget Office; Bureau of Economic Analysis; Bureau of Labor Statistics; Federal Reserve.</t>
  </si>
  <si>
    <r>
      <t>On all federal debt held by the public (fiscal years)</t>
    </r>
    <r>
      <rPr>
        <vertAlign val="superscript"/>
        <sz val="11"/>
        <color rgb="FF000000"/>
        <rFont val="Arial"/>
        <family val="2"/>
      </rPr>
      <t>e</t>
    </r>
  </si>
  <si>
    <t>Real rate</t>
  </si>
  <si>
    <t>Nominal rate</t>
  </si>
  <si>
    <t>On 10-year Treasury notes</t>
  </si>
  <si>
    <t>Interest Rates</t>
  </si>
  <si>
    <t xml:space="preserve">Growth of the GDP price index </t>
  </si>
  <si>
    <t>Growth of the CPI-U</t>
  </si>
  <si>
    <t>Growth of the PCE price index</t>
  </si>
  <si>
    <t>Inflation</t>
  </si>
  <si>
    <r>
      <t>Labor force participation rate</t>
    </r>
    <r>
      <rPr>
        <vertAlign val="superscript"/>
        <sz val="11"/>
        <color theme="1"/>
        <rFont val="Arial"/>
        <family val="2"/>
      </rPr>
      <t>d</t>
    </r>
  </si>
  <si>
    <t>Labor force growth</t>
  </si>
  <si>
    <t>Nominal GDP (fiscal years)</t>
  </si>
  <si>
    <t>Real GDP per person</t>
  </si>
  <si>
    <r>
      <t>Potential labor force productivity</t>
    </r>
    <r>
      <rPr>
        <vertAlign val="superscript"/>
        <sz val="11"/>
        <color theme="1"/>
        <rFont val="Arial"/>
        <family val="2"/>
      </rPr>
      <t>c</t>
    </r>
  </si>
  <si>
    <r>
      <t>Potential labor force</t>
    </r>
    <r>
      <rPr>
        <vertAlign val="superscript"/>
        <sz val="11"/>
        <color theme="1"/>
        <rFont val="Arial"/>
        <family val="2"/>
      </rPr>
      <t>b</t>
    </r>
  </si>
  <si>
    <t>Real GDP</t>
  </si>
  <si>
    <t xml:space="preserve">Growth of GDP </t>
  </si>
  <si>
    <t xml:space="preserve">Percent
</t>
  </si>
  <si>
    <t>1. Key Projections for Selected Years</t>
  </si>
  <si>
    <t>1a. Projections of Revenues and Outlays for Social Security and Medicare, 2026 to 2056</t>
  </si>
  <si>
    <t>2. Debt and Deficits</t>
  </si>
  <si>
    <t>3. Total Outlays and Revenues</t>
  </si>
  <si>
    <t>4. Outlays, by Category</t>
  </si>
  <si>
    <t>5. Composition of Outlays, 2026 and 2056</t>
  </si>
  <si>
    <t>6. Composition of Outlays for the Major Health Care Programs</t>
  </si>
  <si>
    <t>7. Composition of Growth in Outlays for the Major Health Care Programs and Social Security, 2026 to 2056</t>
  </si>
  <si>
    <t>8. Revenues, by Source</t>
  </si>
  <si>
    <t>9. Shares of Income Taxed at Different Rates Under the Individual Income Tax System</t>
  </si>
  <si>
    <t>10. Population Growth and Contributing Factors</t>
  </si>
  <si>
    <t>12. Average Annual Values for Key Economic Variables That Underlie CBO’s Extended Baseline Projections</t>
  </si>
  <si>
    <t>13. Average Annual Values for Additional Economic Variables That Underlie CBO’s Extended Baseline Projections</t>
  </si>
  <si>
    <t>14. Average Annual Growth of Real Potential GDP and Its Components</t>
  </si>
  <si>
    <t>16. CBO’s 2025 and 2026 Projections of Selected Economic Variables</t>
  </si>
  <si>
    <t>17. CBO’s 2025 and 2026 Projections of the Labor Force</t>
  </si>
  <si>
    <t>18. CBO’s 2025 and 2026 Projections of Real Potential GDP</t>
  </si>
  <si>
    <t>19. CBO’s 2025 and 2026 Projections of Interest Rates on 10-Year Treasury Notes</t>
  </si>
  <si>
    <t>20. CBO’s 2025 and 2026 Projections of Revenues, Outlays, Deficits, and Federal Debt Held by the Public in Selected Years</t>
  </si>
  <si>
    <t>21. CBO’s 2025 and 2026 Projections of Deficits and Federal Debt Held by the Public</t>
  </si>
  <si>
    <t>22. CBO’s 2025 and 2026 Projections of Outlays</t>
  </si>
  <si>
    <t>23. CBO’s 2025 and 2026 Projections of Revenues</t>
  </si>
  <si>
    <t>11. Population, by Age Group</t>
  </si>
  <si>
    <r>
      <t>Major 
health care programs</t>
    </r>
    <r>
      <rPr>
        <vertAlign val="superscript"/>
        <sz val="11"/>
        <rFont val="Arial"/>
        <family val="2"/>
      </rPr>
      <t>a</t>
    </r>
  </si>
  <si>
    <t>c. The ratio of real potential GDP to the potential labor force. The sum of growth of the potential labor force and growth of potential labor force productivity isequal to growth of real potential GDP.</t>
  </si>
  <si>
    <t>e. The interest rate on all federal debt held by the public equals net interest payments in the current fiscal year divided by debt held by the public at the end of the previous fiscal year.</t>
  </si>
  <si>
    <t>CPI-U = consumer price index for all urban consumers; PCE = personal consumption expenditures.</t>
  </si>
  <si>
    <t>* = between -0.05 percent and 0.05 percent.</t>
  </si>
  <si>
    <t xml:space="preserve">15. Average Interest Rates on Federal Debt and on 
10-year Treasury Notes </t>
  </si>
  <si>
    <t>10-year Treasury 
note rate</t>
  </si>
  <si>
    <t>CPI-U = consumer price index for all urban consumers.</t>
  </si>
  <si>
    <r>
      <t>Medicaid, CHIP, and premium tax credits and related spending</t>
    </r>
    <r>
      <rPr>
        <vertAlign val="superscript"/>
        <sz val="11"/>
        <color theme="1"/>
        <rFont val="Arial"/>
        <family val="2"/>
      </rPr>
      <t>b</t>
    </r>
  </si>
  <si>
    <t>n.a. = not applicable.</t>
  </si>
  <si>
    <t>Income refers to adjusted gross income—that is, income from all sources not specifically excluded by the tax code, minus certain deductions. The income tax rate is the statutory rate specified under the individual income tax system. The lowest statutory tax rate is zero (because of deductions and exemptions).</t>
  </si>
  <si>
    <r>
      <t>Revenues</t>
    </r>
    <r>
      <rPr>
        <vertAlign val="superscript"/>
        <sz val="11"/>
        <color rgb="FF000000"/>
        <rFont val="Arial"/>
        <family val="2"/>
      </rPr>
      <t>a</t>
    </r>
  </si>
  <si>
    <r>
      <t>Outlays</t>
    </r>
    <r>
      <rPr>
        <vertAlign val="superscript"/>
        <sz val="11"/>
        <color rgb="FF000000"/>
        <rFont val="Arial"/>
        <family val="2"/>
      </rPr>
      <t>b</t>
    </r>
  </si>
  <si>
    <r>
      <t>Real potential GDP</t>
    </r>
    <r>
      <rPr>
        <vertAlign val="superscript"/>
        <sz val="11"/>
        <color rgb="FF000000"/>
        <rFont val="Arial"/>
        <family val="2"/>
      </rPr>
      <t>a</t>
    </r>
  </si>
  <si>
    <t>CBO's long-term budget projections, referred to as the extended baseline, follow the agency’s 10-year baseline projections and then extend most of the concepts underlying those projections for an additional 20 years.</t>
  </si>
  <si>
    <t>These long-term budget projections are based on CBO's demographic projections published on January 7, 2026, its economic and 10-year budget projections published on February 11, 2026, and the agency's 30-year budget projections that extend those earlier projections. They do not account for any budgetary or economic effects of the Supreme Court’s February 20, 2026, ruling on tariffs (Learning Res., Inc. v. Trump, Nos. 24-1287, 25-250, slip op. (S. Ct. Feb. 20, 2026)).</t>
  </si>
  <si>
    <r>
      <t xml:space="preserve">Primary deficits exclude net outlays for interest. In this </t>
    </r>
    <r>
      <rPr>
        <sz val="11"/>
        <rFont val="Arial"/>
        <family val="2"/>
      </rPr>
      <t>table</t>
    </r>
    <r>
      <rPr>
        <sz val="11"/>
        <color theme="1"/>
        <rFont val="Arial"/>
        <family val="2"/>
      </rPr>
      <t>, deficits were calculated by subtracting revenues from outlays; thus, positive values indicate deficits, and negative values indicate surpluses, which occur when revenues exceed outlays.</t>
    </r>
  </si>
  <si>
    <r>
      <t>The population referred to in this</t>
    </r>
    <r>
      <rPr>
        <sz val="11"/>
        <rFont val="Arial"/>
        <family val="2"/>
      </rPr>
      <t xml:space="preserve"> table</t>
    </r>
    <r>
      <rPr>
        <sz val="11"/>
        <color rgb="FF000000"/>
        <rFont val="Arial"/>
        <family val="2"/>
      </rPr>
      <t xml:space="preserve"> is the Social Security area population, which includes all residents of the 50 U.S. states and the District of Columbia, as well as civilian residents of U.S. territories. It also includes federal civilian employees and members of the U.S. Armed Forces living abroad and their dependents, U.S. citizens living abroad, and noncitizens living abroad who are eligible for Social Security benefits on the basis of their earnings while in the United States. </t>
    </r>
  </si>
  <si>
    <r>
      <t>The population referred to in this</t>
    </r>
    <r>
      <rPr>
        <sz val="11"/>
        <rFont val="Arial"/>
        <family val="2"/>
      </rPr>
      <t xml:space="preserve"> table</t>
    </r>
    <r>
      <rPr>
        <sz val="11"/>
        <color theme="1"/>
        <rFont val="Arial"/>
        <family val="2"/>
      </rPr>
      <t xml:space="preserve"> is the Social Security area population, which includes all residents of the 50 U.S. states and the District of Columbia, as well as civilian residents of U.S. territories. It also includes federal civilian employees and members of the U.S. Armed Forces living abroad and their dependents, U.S. citizens living abroad, and noncitizens living abroad who are eligible for Social Security benefits on the basis of their earnings while in the United States. </t>
    </r>
  </si>
  <si>
    <r>
      <t>The labor force consists of people age 16 or older in the civilian noninstitutionalized population who have jobs or are unemployed (available for work and either seeking work or expecting to be recalled from a temporary layoff). The civilian noninstitutionalized population excludes members of the armed forces on active duty and people in penal or mental institutions,</t>
    </r>
    <r>
      <rPr>
        <sz val="11"/>
        <rFont val="Arial"/>
        <family val="2"/>
      </rPr>
      <t xml:space="preserve"> detention facilities, </t>
    </r>
    <r>
      <rPr>
        <sz val="11"/>
        <color theme="1"/>
        <rFont val="Arial"/>
        <family val="2"/>
      </rPr>
      <t>or  homes for the elderly or infirm.</t>
    </r>
  </si>
  <si>
    <t>The values are average annual growth rates over the specified periods.Those rates are calculated using calendar year data.</t>
  </si>
  <si>
    <r>
      <t>The labor force participation rate is the percentage of the civilian noninstitutionalized population age 16 or older that is in the labor force. The labor force consists of people age 16 or older in the civilian noninstitutionalized population who have jobs or are unemployed (available for work and either seeking work or expecting to be recalled from a temporary layoff). The civilian noninstitutionalized population excludes members of the armed forces on active duty and people in penal or mental institutions</t>
    </r>
    <r>
      <rPr>
        <sz val="11"/>
        <rFont val="Arial"/>
        <family val="2"/>
      </rPr>
      <t>, detention facilities</t>
    </r>
    <r>
      <rPr>
        <sz val="11"/>
        <color theme="1"/>
        <rFont val="Arial"/>
        <family val="2"/>
      </rPr>
      <t xml:space="preserve">, or homes for the elderly or infirm. </t>
    </r>
  </si>
  <si>
    <t>CHIP = Children’s Health Insurance Program.</t>
  </si>
  <si>
    <t>Primary deficit or surplus (-)</t>
  </si>
  <si>
    <t>Total deficit or surplus (-)</t>
  </si>
  <si>
    <t>a. Values do not account for effects of the Supreme Court's February 20, 2026, ruling on tariffs.</t>
  </si>
  <si>
    <t xml:space="preserve">b. “Other” revenues consist of excise taxes, remittances from the Federal Reserve System, estate and gift taxes, and miscellaneous fees and fines. </t>
  </si>
  <si>
    <r>
      <t>Customs duties</t>
    </r>
    <r>
      <rPr>
        <vertAlign val="superscript"/>
        <sz val="11"/>
        <rFont val="Arial"/>
        <family val="2"/>
      </rPr>
      <t>a</t>
    </r>
  </si>
  <si>
    <r>
      <t>Customs duties</t>
    </r>
    <r>
      <rPr>
        <vertAlign val="superscript"/>
        <sz val="11"/>
        <color theme="1"/>
        <rFont val="Arial"/>
        <family val="2"/>
      </rPr>
      <t>a</t>
    </r>
  </si>
  <si>
    <r>
      <t>Other</t>
    </r>
    <r>
      <rPr>
        <vertAlign val="superscript"/>
        <sz val="11"/>
        <color theme="1"/>
        <rFont val="Arial"/>
        <family val="2"/>
      </rPr>
      <t>b</t>
    </r>
  </si>
  <si>
    <r>
      <t>Major health care programs</t>
    </r>
    <r>
      <rPr>
        <vertAlign val="superscript"/>
        <sz val="11"/>
        <color theme="1"/>
        <rFont val="Arial"/>
        <family val="2"/>
      </rPr>
      <t>c</t>
    </r>
  </si>
  <si>
    <r>
      <t>Other</t>
    </r>
    <r>
      <rPr>
        <vertAlign val="superscript"/>
        <sz val="11"/>
        <color theme="1"/>
        <rFont val="Arial"/>
        <family val="2"/>
      </rPr>
      <t>d</t>
    </r>
  </si>
  <si>
    <r>
      <t>Total deficit (-)</t>
    </r>
    <r>
      <rPr>
        <b/>
        <vertAlign val="superscript"/>
        <sz val="11"/>
        <color theme="1"/>
        <rFont val="Arial"/>
        <family val="2"/>
      </rPr>
      <t>e</t>
    </r>
  </si>
  <si>
    <r>
      <t>Primary deficit (-)</t>
    </r>
    <r>
      <rPr>
        <vertAlign val="superscript"/>
        <sz val="11"/>
        <color theme="1"/>
        <rFont val="Arial"/>
        <family val="2"/>
      </rPr>
      <t>e,f</t>
    </r>
  </si>
  <si>
    <t>b. Consists of excise taxes, remittances to the Treasury from the Federal Reserve System, customs duties, estate and gift taxes, and miscellaneous fees and fines.</t>
  </si>
  <si>
    <t>c. Consists of outlays for Medicare (net of premiums and other offsetting receipts), Medicaid, the Children’s Health Insurance Program, and premium tax credits and related spending. Premium tax credits subsidize the purchase of health insurance through the marketplaces established under the Affordable Care Act. Related spending is spending to subsidize health insurance provided through the Basic Health Program and to stabilize premiums for health insurance purchases by individuals and small employers.</t>
  </si>
  <si>
    <t>d. Includes the refundable portions of the earned income tax credit, the child tax credit, and the American Opportunity Tax Credit.</t>
  </si>
  <si>
    <t>f. Excludes net outlays for interest.</t>
  </si>
  <si>
    <r>
      <t>Total deficit (-)</t>
    </r>
    <r>
      <rPr>
        <b/>
        <vertAlign val="superscript"/>
        <sz val="11"/>
        <color theme="1"/>
        <rFont val="Arial"/>
        <family val="2"/>
      </rPr>
      <t>d</t>
    </r>
  </si>
  <si>
    <r>
      <t>Primary deficit (-)</t>
    </r>
    <r>
      <rPr>
        <b/>
        <vertAlign val="superscript"/>
        <sz val="11"/>
        <color theme="1"/>
        <rFont val="Arial"/>
        <family val="2"/>
      </rPr>
      <t>d,e</t>
    </r>
  </si>
  <si>
    <r>
      <t>Revenues</t>
    </r>
    <r>
      <rPr>
        <vertAlign val="superscript"/>
        <sz val="11"/>
        <color theme="1"/>
        <rFont val="Arial"/>
        <family val="2"/>
      </rPr>
      <t>f</t>
    </r>
  </si>
  <si>
    <r>
      <t>Outlays</t>
    </r>
    <r>
      <rPr>
        <vertAlign val="superscript"/>
        <sz val="11"/>
        <color theme="1"/>
        <rFont val="Arial"/>
        <family val="2"/>
      </rPr>
      <t>g</t>
    </r>
  </si>
  <si>
    <r>
      <t>Contribution to the deficit (-)</t>
    </r>
    <r>
      <rPr>
        <b/>
        <vertAlign val="superscript"/>
        <sz val="11"/>
        <color theme="1"/>
        <rFont val="Arial"/>
        <family val="2"/>
      </rPr>
      <t>d,h</t>
    </r>
  </si>
  <si>
    <t>b. Consists of excise taxes, remittances to the Treasury from the Federal Reserve System, customs duties, estate and gift taxes, and miscellaneous fees and fines</t>
  </si>
  <si>
    <t>c. Consists of outlays for Medicare (net of premiums and other offsetting receipts), Medicaid, and the Children’s Health Insurance Program, as well as premium tax credits for health insurance purchased through the marketplaces established under the Affordable Care Act and related spending. The premium tax credits subsidize the purchase of health insurance. Related spending is spending to subsidize health insurance provided through the Basic Health Program and to stabilize premiums for health insurance purchased by individuals and small employers.</t>
  </si>
  <si>
    <t>e. Primary deficits exclude net outlays for interest.</t>
  </si>
  <si>
    <t xml:space="preserve">f. Includes payroll taxes other than the employer’s share of payroll taxes that federal agencies pay; those payments are intragovernmental transactions. Also includes income taxes paid on Social Security benefits, which are credited to the Social Security and Medicare trust funds. </t>
  </si>
  <si>
    <t xml:space="preserve">g. For Social Security, outlays do not include those related to the administration of the program, which are discretionary. For Medicare, outlays include those related to the administration of the program. Outlays for those two programs do not include intragovernmental offsetting receipts stemming from the employer’s share of payroll taxes that federal agencies pay. </t>
  </si>
  <si>
    <t xml:space="preserve">h. The net increase in the deficit shown here differs from the change in the trust fund balance for the program. It does not include intragovernmental transactions, interest earned on balances, or outlays related to the administration of the program. </t>
  </si>
  <si>
    <t>e. When outlays exceed revenues, the result is a deficit. Values in this row were calculated by subtracting outlays from revenues; thus, negative values indicate deficits.</t>
  </si>
  <si>
    <t>In lieu of publishing a report providing the Congressional Budget Office's latest long-term budget outlook, the agency is publishing the data that it would have presented in that report.</t>
  </si>
  <si>
    <r>
      <t xml:space="preserve">This file is CBO’s February 2026 publication </t>
    </r>
    <r>
      <rPr>
        <i/>
        <sz val="11"/>
        <color rgb="FF000000"/>
        <rFont val="Arial"/>
        <family val="2"/>
      </rPr>
      <t>The Long-Term Budget Outlook Data: 2026 to 2056</t>
    </r>
    <r>
      <rPr>
        <sz val="11"/>
        <color rgb="FF00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</si>
</sst>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0.0"/>
    <numFmt numFmtId="165" formatCode="0.0000"/>
    <numFmt numFmtId="166" formatCode="0.0%"/>
    <numFmt numFmtId="179" formatCode="#,##0.0"/>
    <numFmt numFmtId="181" formatCode="0.000"/>
    <numFmt numFmtId="182" formatCode="0.0000000000"/>
    <numFmt numFmtId="183" formatCode="&quot;*&quot;;&quot;*&quot;;&quot;*&quot;;@"/>
    <numFmt numFmtId="184" formatCode="&quot;*&quot;"/>
    <numFmt numFmtId="185" formatCode="0.00000"/>
    <numFmt numFmtId="186" formatCode="0.000000000"/>
  </numFmts>
  <fonts count="25" x14ac:knownFonts="1">
    <font>
      <sz val="11"/>
      <color theme="1"/>
      <name val="Calibri"/>
      <family val="2"/>
      <scheme val="minor"/>
    </font>
    <font>
      <sz val="11"/>
      <color theme="1"/>
      <name val="Calibri"/>
      <family val="2"/>
      <scheme val="minor"/>
    </font>
    <font>
      <sz val="11"/>
      <color theme="1"/>
      <name val="Arial"/>
      <family val="2"/>
    </font>
    <font>
      <sz val="11"/>
      <color theme="3"/>
      <name val="Arial"/>
      <family val="2"/>
    </font>
    <font>
      <b/>
      <sz val="11"/>
      <color theme="1"/>
      <name val="Arial"/>
      <family val="2"/>
    </font>
    <font>
      <sz val="11"/>
      <name val="Arial"/>
      <family val="2"/>
    </font>
    <font>
      <sz val="11"/>
      <color rgb="FFFF0000"/>
      <name val="Arial"/>
      <family val="2"/>
    </font>
    <font>
      <b/>
      <sz val="11"/>
      <color indexed="8"/>
      <name val="Arial"/>
      <family val="2"/>
    </font>
    <font>
      <sz val="11"/>
      <color indexed="8"/>
      <name val="Arial"/>
      <family val="2"/>
    </font>
    <font>
      <sz val="11"/>
      <color rgb="FF000000"/>
      <name val="Arial"/>
      <family val="2"/>
    </font>
    <font>
      <sz val="11"/>
      <color rgb="FF0099CC"/>
      <name val="Arial"/>
      <family val="2"/>
    </font>
    <font>
      <sz val="11"/>
      <color rgb="FF1F497D"/>
      <name val="Arial"/>
      <family val="2"/>
    </font>
    <font>
      <b/>
      <sz val="11"/>
      <color rgb="FF000000"/>
      <name val="Arial"/>
      <family val="2"/>
    </font>
    <font>
      <vertAlign val="superscript"/>
      <sz val="11"/>
      <color rgb="FF000000"/>
      <name val="Arial"/>
      <family val="2"/>
    </font>
    <font>
      <vertAlign val="superscript"/>
      <sz val="11"/>
      <color theme="1"/>
      <name val="Arial"/>
      <family val="2"/>
    </font>
    <font>
      <u/>
      <sz val="11"/>
      <name val="Arial"/>
      <family val="2"/>
    </font>
    <font>
      <b/>
      <sz val="11"/>
      <name val="Arial"/>
      <family val="2"/>
    </font>
    <font>
      <sz val="11"/>
      <color rgb="FF0070C0"/>
      <name val="Arial"/>
      <family val="2"/>
    </font>
    <font>
      <sz val="8"/>
      <name val="Calibri"/>
      <family val="2"/>
      <scheme val="minor"/>
    </font>
    <font>
      <sz val="11"/>
      <color rgb="FF4472C4"/>
      <name val="Arial"/>
      <family val="2"/>
    </font>
    <font>
      <i/>
      <sz val="11"/>
      <color rgb="FF000000"/>
      <name val="Arial"/>
      <family val="2"/>
    </font>
    <font>
      <b/>
      <vertAlign val="superscript"/>
      <sz val="11"/>
      <color theme="1"/>
      <name val="Arial"/>
      <family val="2"/>
    </font>
    <font>
      <vertAlign val="superscript"/>
      <sz val="11"/>
      <name val="Arial"/>
      <family val="2"/>
    </font>
    <font>
      <sz val="11"/>
      <color rgb="FF44546A"/>
      <name val="Arial"/>
      <family val="2"/>
    </font>
    <font>
      <b/>
      <sz val="11"/>
      <color rgb="FF0070C0"/>
      <name val="Arial"/>
      <family val="2"/>
    </font>
  </fonts>
  <fills count="2">
    <fill>
      <patternFill patternType="none"/>
    </fill>
    <fill>
      <patternFill patternType="gray125"/>
    </fill>
  </fills>
  <borders count="6">
    <border>
      <left/>
      <right/>
      <top/>
      <bottom/>
      <diagonal/>
    </border>
    <border>
      <left/>
      <right/>
      <top/>
      <bottom style="thin">
        <color indexed="64"/>
      </bottom>
      <diagonal/>
    </border>
    <border>
      <left/>
      <right/>
      <top style="thin">
        <color indexed="64"/>
      </top>
      <bottom/>
      <diagonal/>
    </border>
    <border>
      <left/>
      <right/>
      <top/>
      <bottom style="thin">
        <color rgb="FF000000"/>
      </bottom>
      <diagonal/>
    </border>
    <border>
      <left/>
      <right/>
      <top style="thin">
        <color rgb="FF000000"/>
      </top>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23" fillId="0" borderId="0">
      <alignment vertical="top"/>
      <protection locked="0"/>
    </xf>
    <xf numFmtId="0" fontId="23" fillId="0" borderId="0" applyNumberFormat="0" applyFill="0" applyBorder="0" applyAlignment="0" applyProtection="0"/>
  </cellStyleXfs>
  <cellXfs count="225">
    <xf numFmtId="0" fontId="0" fillId="0" borderId="0" xfId="0"/>
    <xf numFmtId="0" fontId="4" fillId="0" borderId="0" xfId="0" applyFont="1" applyAlignment="1">
      <alignment horizontal="center"/>
    </xf>
    <xf numFmtId="1" fontId="2" fillId="0" borderId="0" xfId="0" applyNumberFormat="1" applyFont="1" applyAlignment="1">
      <alignment horizontal="center"/>
    </xf>
    <xf numFmtId="0" fontId="6" fillId="0" borderId="0" xfId="0" applyFont="1" applyAlignment="1">
      <alignment horizontal="left"/>
    </xf>
    <xf numFmtId="1" fontId="2" fillId="0" borderId="0" xfId="0" applyNumberFormat="1" applyFont="1"/>
    <xf numFmtId="164" fontId="2" fillId="0" borderId="0" xfId="0" applyNumberFormat="1" applyFont="1"/>
    <xf numFmtId="0" fontId="3" fillId="0" borderId="0" xfId="0" applyFont="1"/>
    <xf numFmtId="164" fontId="2" fillId="0" borderId="1" xfId="0" applyNumberFormat="1" applyFont="1" applyBorder="1" applyAlignment="1">
      <alignment horizontal="center"/>
    </xf>
    <xf numFmtId="0" fontId="2" fillId="0" borderId="2" xfId="0" applyFont="1" applyBorder="1" applyAlignment="1">
      <alignment horizontal="left"/>
    </xf>
    <xf numFmtId="0" fontId="2" fillId="0" borderId="0" xfId="0" applyFont="1" applyAlignment="1">
      <alignment wrapText="1"/>
    </xf>
    <xf numFmtId="0" fontId="5" fillId="0" borderId="0" xfId="0" applyFont="1"/>
    <xf numFmtId="0" fontId="8" fillId="0" borderId="0" xfId="0" applyFont="1"/>
    <xf numFmtId="0" fontId="4" fillId="0" borderId="0" xfId="0" applyFont="1"/>
    <xf numFmtId="165" fontId="2" fillId="0" borderId="0" xfId="0" applyNumberFormat="1" applyFont="1"/>
    <xf numFmtId="166" fontId="5" fillId="0" borderId="0" xfId="2" applyNumberFormat="1" applyFont="1"/>
    <xf numFmtId="165" fontId="2" fillId="0" borderId="0" xfId="0" applyNumberFormat="1" applyFont="1" applyAlignment="1">
      <alignment horizontal="center"/>
    </xf>
    <xf numFmtId="0" fontId="2" fillId="0" borderId="0" xfId="0" applyFont="1"/>
    <xf numFmtId="0" fontId="2" fillId="0" borderId="2" xfId="0" applyFont="1" applyBorder="1" applyAlignment="1">
      <alignment horizontal="center"/>
    </xf>
    <xf numFmtId="0" fontId="2" fillId="0" borderId="3" xfId="0" applyFont="1" applyBorder="1"/>
    <xf numFmtId="0" fontId="2" fillId="0" borderId="0" xfId="0" applyFont="1" applyAlignment="1">
      <alignment horizontal="left"/>
    </xf>
    <xf numFmtId="0" fontId="2" fillId="0" borderId="0" xfId="0" applyFont="1" applyAlignment="1">
      <alignment horizontal="center"/>
    </xf>
    <xf numFmtId="0" fontId="2" fillId="0" borderId="1" xfId="0" applyFont="1" applyBorder="1"/>
    <xf numFmtId="0" fontId="5" fillId="0" borderId="2" xfId="0" applyFont="1" applyBorder="1" applyAlignment="1">
      <alignment horizontal="center"/>
    </xf>
    <xf numFmtId="0" fontId="8" fillId="0" borderId="3" xfId="0" applyFont="1" applyBorder="1"/>
    <xf numFmtId="0" fontId="9" fillId="0" borderId="0" xfId="0" applyFont="1" applyAlignment="1">
      <alignment horizontal="left"/>
    </xf>
    <xf numFmtId="0" fontId="9" fillId="0" borderId="1" xfId="0" applyFont="1" applyBorder="1" applyAlignment="1">
      <alignment horizontal="left"/>
    </xf>
    <xf numFmtId="0" fontId="2" fillId="0" borderId="0" xfId="0" applyFont="1" applyAlignment="1" applyProtection="1">
      <alignment horizontal="left"/>
      <protection locked="0"/>
    </xf>
    <xf numFmtId="0" fontId="2" fillId="0" borderId="0" xfId="0" applyFont="1" applyProtection="1">
      <protection locked="0"/>
    </xf>
    <xf numFmtId="0" fontId="2" fillId="0" borderId="3" xfId="0" applyFont="1" applyBorder="1" applyAlignment="1" applyProtection="1">
      <alignment horizontal="left"/>
      <protection locked="0"/>
    </xf>
    <xf numFmtId="0" fontId="2" fillId="0" borderId="1" xfId="0" applyFont="1" applyBorder="1" applyAlignment="1" applyProtection="1">
      <alignment horizontal="left"/>
      <protection locked="0"/>
    </xf>
    <xf numFmtId="2" fontId="2" fillId="0" borderId="1" xfId="0" applyNumberFormat="1" applyFont="1" applyBorder="1" applyAlignment="1">
      <alignment horizontal="center"/>
    </xf>
    <xf numFmtId="0" fontId="4" fillId="0" borderId="1" xfId="0" applyFont="1" applyBorder="1" applyAlignment="1">
      <alignment horizontal="center" wrapText="1"/>
    </xf>
    <xf numFmtId="0" fontId="2" fillId="0" borderId="0" xfId="0" applyFont="1" applyAlignment="1">
      <alignment horizontal="left" vertical="center"/>
    </xf>
    <xf numFmtId="0" fontId="2" fillId="0" borderId="0" xfId="0" applyFont="1" applyAlignment="1">
      <alignment horizontal="center" wrapText="1"/>
    </xf>
    <xf numFmtId="0" fontId="9" fillId="0" borderId="0" xfId="0" applyFont="1" applyAlignment="1">
      <alignment horizontal="center" wrapText="1"/>
    </xf>
    <xf numFmtId="164" fontId="5" fillId="0" borderId="0" xfId="0" applyNumberFormat="1" applyFont="1" applyAlignment="1">
      <alignment horizontal="center"/>
    </xf>
    <xf numFmtId="0" fontId="5" fillId="0" borderId="1" xfId="0" applyFont="1" applyBorder="1"/>
    <xf numFmtId="0" fontId="8" fillId="0" borderId="1" xfId="0" applyFont="1" applyBorder="1" applyAlignment="1">
      <alignment horizontal="center" wrapText="1"/>
    </xf>
    <xf numFmtId="0" fontId="12" fillId="0" borderId="1" xfId="0" applyFont="1" applyBorder="1" applyAlignment="1">
      <alignment wrapText="1"/>
    </xf>
    <xf numFmtId="164" fontId="15" fillId="0" borderId="0" xfId="0" applyNumberFormat="1" applyFont="1" applyAlignment="1">
      <alignment horizontal="center"/>
    </xf>
    <xf numFmtId="164" fontId="16" fillId="0" borderId="0" xfId="0" applyNumberFormat="1" applyFont="1" applyAlignment="1">
      <alignment horizontal="center"/>
    </xf>
    <xf numFmtId="1" fontId="5" fillId="0" borderId="0" xfId="0" applyNumberFormat="1" applyFont="1" applyAlignment="1">
      <alignment horizontal="center"/>
    </xf>
    <xf numFmtId="0" fontId="2" fillId="0" borderId="0" xfId="0" applyFont="1" applyAlignment="1">
      <alignment horizontal="left" indent="2"/>
    </xf>
    <xf numFmtId="164" fontId="2" fillId="0" borderId="0" xfId="0" applyNumberFormat="1" applyFont="1" applyAlignment="1">
      <alignment horizontal="center"/>
    </xf>
    <xf numFmtId="182" fontId="2" fillId="0" borderId="0" xfId="0" applyNumberFormat="1" applyFont="1"/>
    <xf numFmtId="0" fontId="9" fillId="0" borderId="1" xfId="0" applyFont="1" applyBorder="1" applyAlignment="1">
      <alignment horizontal="center" wrapText="1"/>
    </xf>
    <xf numFmtId="164" fontId="2" fillId="0" borderId="0" xfId="0" applyNumberFormat="1" applyFont="1" applyAlignment="1">
      <alignment horizontal="right"/>
    </xf>
    <xf numFmtId="164" fontId="17" fillId="0" borderId="0" xfId="0" applyNumberFormat="1" applyFont="1" applyAlignment="1">
      <alignment horizontal="center"/>
    </xf>
    <xf numFmtId="0" fontId="2" fillId="0" borderId="0" xfId="0" applyFont="1" applyAlignment="1">
      <alignment horizontal="left" indent="1"/>
    </xf>
    <xf numFmtId="0" fontId="9" fillId="0" borderId="0" xfId="0" applyFont="1" applyAlignment="1">
      <alignment horizontal="left" wrapText="1" indent="1"/>
    </xf>
    <xf numFmtId="0" fontId="4" fillId="0" borderId="0" xfId="0" applyFont="1" applyAlignment="1">
      <alignment horizontal="left" indent="4"/>
    </xf>
    <xf numFmtId="0" fontId="2" fillId="0" borderId="0" xfId="0" applyFont="1" applyAlignment="1">
      <alignment horizontal="left" indent="3"/>
    </xf>
    <xf numFmtId="0" fontId="4" fillId="0" borderId="0" xfId="0" applyFont="1" applyAlignment="1">
      <alignment horizontal="left" indent="2"/>
    </xf>
    <xf numFmtId="0" fontId="2" fillId="0" borderId="0" xfId="0" applyFont="1" applyAlignment="1">
      <alignment horizontal="left" indent="7"/>
    </xf>
    <xf numFmtId="0" fontId="4" fillId="0" borderId="0" xfId="0" applyFont="1" applyAlignment="1">
      <alignment horizontal="left" indent="6"/>
    </xf>
    <xf numFmtId="0" fontId="4" fillId="0" borderId="0" xfId="0" applyFont="1" applyAlignment="1">
      <alignment horizontal="left" indent="7"/>
    </xf>
    <xf numFmtId="0" fontId="2" fillId="0" borderId="0" xfId="0" applyFont="1" applyAlignment="1">
      <alignment horizontal="left" indent="4"/>
    </xf>
    <xf numFmtId="0" fontId="2" fillId="0" borderId="1" xfId="0" applyFont="1" applyBorder="1" applyAlignment="1">
      <alignment horizontal="left" vertical="top"/>
    </xf>
    <xf numFmtId="181" fontId="2" fillId="0" borderId="0" xfId="0" applyNumberFormat="1" applyFont="1"/>
    <xf numFmtId="0" fontId="2" fillId="0" borderId="1" xfId="0" applyFont="1" applyBorder="1" applyAlignment="1">
      <alignment horizontal="left" vertical="center" wrapText="1"/>
    </xf>
    <xf numFmtId="0" fontId="10" fillId="0" borderId="0" xfId="0" applyFont="1"/>
    <xf numFmtId="165" fontId="2" fillId="0" borderId="1" xfId="0" applyNumberFormat="1" applyFont="1" applyBorder="1" applyAlignment="1">
      <alignment horizontal="center" wrapText="1"/>
    </xf>
    <xf numFmtId="164" fontId="6" fillId="0" borderId="0" xfId="0" applyNumberFormat="1" applyFont="1" applyAlignment="1">
      <alignment horizontal="center"/>
    </xf>
    <xf numFmtId="2" fontId="2" fillId="0" borderId="0" xfId="0" applyNumberFormat="1" applyFont="1"/>
    <xf numFmtId="0" fontId="5" fillId="0" borderId="0" xfId="0" applyFont="1" applyAlignment="1">
      <alignment vertical="center" wrapText="1"/>
    </xf>
    <xf numFmtId="0" fontId="2" fillId="0" borderId="0" xfId="0" applyFont="1" applyAlignment="1">
      <alignment vertical="center"/>
    </xf>
    <xf numFmtId="181" fontId="2" fillId="0" borderId="0" xfId="0" applyNumberFormat="1" applyFont="1" applyAlignment="1">
      <alignment horizontal="center"/>
    </xf>
    <xf numFmtId="0" fontId="7" fillId="0" borderId="0" xfId="0" applyFont="1"/>
    <xf numFmtId="0" fontId="2" fillId="0" borderId="1" xfId="0" applyFont="1" applyBorder="1" applyAlignment="1">
      <alignment horizontal="left" wrapText="1"/>
    </xf>
    <xf numFmtId="37" fontId="2" fillId="0" borderId="1" xfId="1" applyNumberFormat="1" applyFont="1" applyFill="1" applyBorder="1" applyAlignment="1">
      <alignment horizontal="center"/>
    </xf>
    <xf numFmtId="0" fontId="5" fillId="0" borderId="1" xfId="0" applyFont="1" applyBorder="1" applyAlignment="1">
      <alignment horizontal="center" wrapText="1"/>
    </xf>
    <xf numFmtId="0" fontId="5" fillId="0" borderId="0" xfId="0" applyFont="1" applyAlignment="1">
      <alignment wrapText="1"/>
    </xf>
    <xf numFmtId="164" fontId="5" fillId="0" borderId="0" xfId="0" applyNumberFormat="1" applyFont="1"/>
    <xf numFmtId="0" fontId="11" fillId="0" borderId="0" xfId="0" applyFont="1"/>
    <xf numFmtId="0" fontId="12" fillId="0" borderId="0" xfId="0" applyFont="1" applyAlignment="1">
      <alignment wrapText="1"/>
    </xf>
    <xf numFmtId="0" fontId="9" fillId="0" borderId="1" xfId="0" applyFont="1" applyBorder="1"/>
    <xf numFmtId="0" fontId="9" fillId="0" borderId="1" xfId="0" applyFont="1" applyBorder="1" applyAlignment="1">
      <alignment wrapText="1"/>
    </xf>
    <xf numFmtId="164" fontId="9" fillId="0" borderId="1" xfId="0" applyNumberFormat="1" applyFont="1" applyBorder="1" applyAlignment="1">
      <alignment horizontal="center"/>
    </xf>
    <xf numFmtId="164" fontId="5" fillId="0" borderId="1" xfId="0" applyNumberFormat="1" applyFont="1" applyBorder="1" applyAlignment="1">
      <alignment horizontal="center"/>
    </xf>
    <xf numFmtId="0" fontId="5" fillId="0" borderId="1" xfId="0" applyFont="1" applyBorder="1" applyAlignment="1">
      <alignment horizontal="left"/>
    </xf>
    <xf numFmtId="0" fontId="5" fillId="0" borderId="2" xfId="0" applyFont="1" applyBorder="1" applyAlignment="1" applyProtection="1">
      <alignment horizontal="left"/>
      <protection locked="0"/>
    </xf>
    <xf numFmtId="164" fontId="5" fillId="0" borderId="0" xfId="0" applyNumberFormat="1" applyFont="1" applyAlignment="1">
      <alignment horizontal="center"/>
    </xf>
    <xf numFmtId="0" fontId="5" fillId="0" borderId="0" xfId="0" applyFont="1" applyAlignment="1">
      <alignment horizontal="left"/>
    </xf>
    <xf numFmtId="0" fontId="5" fillId="0" borderId="1" xfId="0" applyFont="1" applyBorder="1" applyAlignment="1">
      <alignment horizontal="left"/>
    </xf>
    <xf numFmtId="0" fontId="5" fillId="0" borderId="1" xfId="0" applyFont="1" applyBorder="1"/>
    <xf numFmtId="0" fontId="5" fillId="0" borderId="0" xfId="0" applyFont="1"/>
    <xf numFmtId="0" fontId="2" fillId="0" borderId="2" xfId="0" applyFont="1" applyBorder="1"/>
    <xf numFmtId="164" fontId="5" fillId="0" borderId="2" xfId="0" applyNumberFormat="1" applyFont="1" applyBorder="1" applyAlignment="1">
      <alignment horizontal="right" wrapText="1"/>
    </xf>
    <xf numFmtId="165" fontId="2" fillId="0" borderId="2" xfId="0" applyNumberFormat="1" applyFont="1" applyBorder="1"/>
    <xf numFmtId="2" fontId="2" fillId="0" borderId="0" xfId="0" applyNumberFormat="1" applyFont="1" applyAlignment="1">
      <alignment horizontal="center"/>
    </xf>
    <xf numFmtId="0" fontId="2" fillId="0" borderId="3" xfId="0" applyFont="1" applyBorder="1" applyAlignment="1">
      <alignment horizontal="center"/>
    </xf>
    <xf numFmtId="164" fontId="4" fillId="0" borderId="0" xfId="0" applyNumberFormat="1" applyFont="1" applyAlignment="1">
      <alignment horizontal="center"/>
    </xf>
    <xf numFmtId="1" fontId="16" fillId="0" borderId="0" xfId="0" applyNumberFormat="1" applyFont="1" applyAlignment="1">
      <alignment horizontal="center"/>
    </xf>
    <xf numFmtId="164" fontId="5" fillId="0" borderId="0" xfId="0" applyNumberFormat="1" applyFont="1" applyAlignment="1">
      <alignment horizontal="center"/>
    </xf>
    <xf numFmtId="164" fontId="6" fillId="0" borderId="0" xfId="0" applyNumberFormat="1" applyFont="1"/>
    <xf numFmtId="0" fontId="2" fillId="0" borderId="3" xfId="0" applyFont="1" applyBorder="1" applyAlignment="1">
      <alignment horizontal="center" wrapText="1"/>
    </xf>
    <xf numFmtId="0" fontId="9" fillId="0" borderId="3" xfId="0" applyFont="1" applyBorder="1" applyAlignment="1">
      <alignment horizontal="center" wrapText="1"/>
    </xf>
    <xf numFmtId="0" fontId="5" fillId="0" borderId="0" xfId="0" applyFont="1" applyAlignment="1">
      <alignment horizontal="center"/>
    </xf>
    <xf numFmtId="1" fontId="2" fillId="0" borderId="1" xfId="0" applyNumberFormat="1" applyFont="1" applyBorder="1" applyAlignment="1">
      <alignment horizontal="center"/>
    </xf>
    <xf numFmtId="2" fontId="5" fillId="0" borderId="0" xfId="0" applyNumberFormat="1" applyFont="1" applyAlignment="1">
      <alignment horizontal="right"/>
    </xf>
    <xf numFmtId="2" fontId="2" fillId="0" borderId="0" xfId="0" applyNumberFormat="1" applyFont="1" applyAlignment="1">
      <alignment horizontal="right"/>
    </xf>
    <xf numFmtId="164" fontId="4" fillId="0" borderId="0" xfId="0" applyNumberFormat="1" applyFont="1" applyAlignment="1">
      <alignment horizontal="right"/>
    </xf>
    <xf numFmtId="2" fontId="5" fillId="0" borderId="1" xfId="0" applyNumberFormat="1" applyFont="1" applyBorder="1" applyAlignment="1">
      <alignment horizontal="right"/>
    </xf>
    <xf numFmtId="2" fontId="2" fillId="0" borderId="1" xfId="0" applyNumberFormat="1" applyFont="1" applyBorder="1" applyAlignment="1">
      <alignment horizontal="right"/>
    </xf>
    <xf numFmtId="2" fontId="2" fillId="0" borderId="0" xfId="0" applyNumberFormat="1" applyFont="1" applyAlignment="1">
      <alignment horizontal="right" wrapText="1"/>
    </xf>
    <xf numFmtId="2" fontId="6" fillId="0" borderId="0" xfId="0" applyNumberFormat="1" applyFont="1" applyAlignment="1">
      <alignment horizontal="right"/>
    </xf>
    <xf numFmtId="2" fontId="5" fillId="0" borderId="1" xfId="0" applyNumberFormat="1" applyFont="1" applyBorder="1" applyAlignment="1">
      <alignment horizontal="center" wrapText="1"/>
    </xf>
    <xf numFmtId="2" fontId="2" fillId="0" borderId="1" xfId="0" applyNumberFormat="1" applyFont="1" applyBorder="1" applyAlignment="1">
      <alignment horizontal="center" wrapText="1"/>
    </xf>
    <xf numFmtId="164" fontId="2" fillId="0" borderId="1" xfId="0" applyNumberFormat="1" applyFont="1" applyBorder="1" applyAlignment="1">
      <alignment horizontal="center" wrapText="1"/>
    </xf>
    <xf numFmtId="2" fontId="5" fillId="0" borderId="0" xfId="0" applyNumberFormat="1" applyFont="1" applyAlignment="1">
      <alignment horizontal="center"/>
    </xf>
    <xf numFmtId="0" fontId="4" fillId="0" borderId="1" xfId="0" applyFont="1" applyBorder="1" applyAlignment="1">
      <alignment wrapText="1"/>
    </xf>
    <xf numFmtId="0" fontId="2" fillId="0" borderId="0" xfId="0" applyFont="1" applyAlignment="1" applyProtection="1">
      <alignment horizontal="center"/>
      <protection locked="0"/>
    </xf>
    <xf numFmtId="0" fontId="4" fillId="0" borderId="0" xfId="0" applyFont="1" applyAlignment="1" applyProtection="1">
      <alignment horizontal="center" wrapText="1"/>
      <protection locked="0"/>
    </xf>
    <xf numFmtId="0" fontId="4" fillId="0" borderId="0" xfId="0" applyFont="1" applyAlignment="1" applyProtection="1">
      <alignment horizontal="center"/>
      <protection locked="0"/>
    </xf>
    <xf numFmtId="0" fontId="2" fillId="0" borderId="3" xfId="0" applyFont="1" applyBorder="1" applyAlignment="1" applyProtection="1">
      <alignment horizontal="center"/>
      <protection locked="0"/>
    </xf>
    <xf numFmtId="0" fontId="5" fillId="0" borderId="1" xfId="0" applyFont="1" applyBorder="1" applyAlignment="1" applyProtection="1">
      <alignment horizontal="center" wrapText="1"/>
      <protection locked="0"/>
    </xf>
    <xf numFmtId="2" fontId="2" fillId="0" borderId="1" xfId="0" applyNumberFormat="1" applyFont="1" applyBorder="1" applyAlignment="1" applyProtection="1">
      <alignment horizontal="center"/>
      <protection locked="0"/>
    </xf>
    <xf numFmtId="164" fontId="2" fillId="0" borderId="0" xfId="0" applyNumberFormat="1" applyFont="1" applyAlignment="1" applyProtection="1">
      <alignment horizontal="center"/>
      <protection locked="0"/>
    </xf>
    <xf numFmtId="2" fontId="2" fillId="0" borderId="0" xfId="0" applyNumberFormat="1" applyFont="1" applyAlignment="1">
      <alignment horizontal="left"/>
    </xf>
    <xf numFmtId="2" fontId="2" fillId="0" borderId="2" xfId="0" applyNumberFormat="1" applyFont="1" applyBorder="1" applyAlignment="1">
      <alignment horizontal="left"/>
    </xf>
    <xf numFmtId="0" fontId="4" fillId="0" borderId="2" xfId="0" applyFont="1" applyBorder="1" applyAlignment="1">
      <alignment horizontal="center"/>
    </xf>
    <xf numFmtId="165" fontId="2" fillId="0" borderId="1" xfId="0" applyNumberFormat="1" applyFont="1" applyBorder="1"/>
    <xf numFmtId="1" fontId="2" fillId="0" borderId="1" xfId="0" applyNumberFormat="1" applyFont="1" applyBorder="1" applyAlignment="1">
      <alignment horizontal="center" wrapText="1"/>
    </xf>
    <xf numFmtId="0" fontId="5" fillId="0" borderId="0" xfId="0" applyFont="1" applyAlignment="1">
      <alignment vertical="center"/>
    </xf>
    <xf numFmtId="164" fontId="5" fillId="0" borderId="0" xfId="0" applyNumberFormat="1" applyFont="1" applyAlignment="1">
      <alignment vertical="center"/>
    </xf>
    <xf numFmtId="0" fontId="19" fillId="0" borderId="0" xfId="0" applyFont="1"/>
    <xf numFmtId="1" fontId="2" fillId="0" borderId="0" xfId="0" applyNumberFormat="1" applyFont="1" applyAlignment="1">
      <alignment horizontal="left"/>
    </xf>
    <xf numFmtId="0" fontId="5" fillId="0" borderId="0" xfId="0" applyFont="1" applyAlignment="1">
      <alignment horizontal="left"/>
    </xf>
    <xf numFmtId="0" fontId="6" fillId="0" borderId="0" xfId="0" applyFont="1"/>
    <xf numFmtId="164" fontId="5" fillId="0" borderId="0" xfId="0" applyNumberFormat="1" applyFont="1" applyAlignment="1">
      <alignment horizontal="center" wrapText="1"/>
    </xf>
    <xf numFmtId="164" fontId="5" fillId="0" borderId="3" xfId="0" applyNumberFormat="1" applyFont="1" applyBorder="1" applyAlignment="1">
      <alignment horizontal="center"/>
    </xf>
    <xf numFmtId="1" fontId="6" fillId="0" borderId="0" xfId="0" applyNumberFormat="1" applyFont="1" applyAlignment="1">
      <alignment horizontal="center"/>
    </xf>
    <xf numFmtId="165" fontId="5" fillId="0" borderId="0" xfId="0" applyNumberFormat="1" applyFont="1"/>
    <xf numFmtId="185" fontId="5" fillId="0" borderId="0" xfId="0" applyNumberFormat="1" applyFont="1"/>
    <xf numFmtId="164" fontId="2" fillId="0" borderId="0" xfId="0" applyNumberFormat="1" applyFont="1" applyAlignment="1">
      <alignment horizontal="center" wrapText="1"/>
    </xf>
    <xf numFmtId="164" fontId="6" fillId="0" borderId="1" xfId="0" applyNumberFormat="1" applyFont="1" applyBorder="1" applyAlignment="1">
      <alignment horizontal="center"/>
    </xf>
    <xf numFmtId="0" fontId="5" fillId="0" borderId="0" xfId="0" applyFont="1" applyAlignment="1">
      <alignment horizontal="center" wrapText="1"/>
    </xf>
    <xf numFmtId="0" fontId="5" fillId="0" borderId="0" xfId="0" applyFont="1" applyAlignment="1">
      <alignment horizontal="center"/>
    </xf>
    <xf numFmtId="0" fontId="12" fillId="0" borderId="1" xfId="0" applyFont="1" applyBorder="1" applyAlignment="1">
      <alignment horizontal="center" wrapText="1"/>
    </xf>
    <xf numFmtId="0" fontId="12" fillId="0" borderId="1" xfId="0" applyFont="1" applyBorder="1" applyAlignment="1">
      <alignment horizontal="center"/>
    </xf>
    <xf numFmtId="164" fontId="5" fillId="0" borderId="1" xfId="0" applyNumberFormat="1" applyFont="1" applyBorder="1" applyAlignment="1">
      <alignment horizontal="center"/>
    </xf>
    <xf numFmtId="164" fontId="2" fillId="0" borderId="2" xfId="0" applyNumberFormat="1" applyFont="1" applyBorder="1" applyAlignment="1">
      <alignment horizontal="center"/>
    </xf>
    <xf numFmtId="179" fontId="2" fillId="0" borderId="0" xfId="0" applyNumberFormat="1" applyFont="1" applyAlignment="1">
      <alignment horizontal="center"/>
    </xf>
    <xf numFmtId="165" fontId="6" fillId="0" borderId="0" xfId="0" applyNumberFormat="1" applyFont="1"/>
    <xf numFmtId="164" fontId="5" fillId="0" borderId="0" xfId="0" applyNumberFormat="1" applyFont="1" applyAlignment="1" applyProtection="1">
      <alignment horizontal="center"/>
      <protection locked="0"/>
    </xf>
    <xf numFmtId="164" fontId="5" fillId="0" borderId="2" xfId="0" applyNumberFormat="1" applyFont="1" applyBorder="1" applyAlignment="1" applyProtection="1">
      <alignment horizontal="center"/>
      <protection locked="0"/>
    </xf>
    <xf numFmtId="164" fontId="5" fillId="0" borderId="2" xfId="0" applyNumberFormat="1" applyFont="1" applyBorder="1" applyAlignment="1">
      <alignment horizontal="center"/>
    </xf>
    <xf numFmtId="164" fontId="9" fillId="0" borderId="0" xfId="0" applyNumberFormat="1" applyFont="1" applyAlignment="1">
      <alignment horizontal="center"/>
    </xf>
    <xf numFmtId="0" fontId="5" fillId="0" borderId="1" xfId="0" applyFont="1" applyBorder="1" applyAlignment="1">
      <alignment horizontal="center"/>
    </xf>
    <xf numFmtId="164" fontId="5" fillId="0" borderId="3" xfId="0" applyNumberFormat="1" applyFont="1" applyBorder="1" applyAlignment="1">
      <alignment horizontal="center"/>
    </xf>
    <xf numFmtId="164" fontId="2" fillId="0" borderId="3" xfId="0" applyNumberFormat="1" applyFont="1" applyBorder="1" applyAlignment="1">
      <alignment horizontal="center"/>
    </xf>
    <xf numFmtId="183" fontId="2" fillId="0" borderId="0" xfId="0" applyNumberFormat="1" applyFont="1" applyAlignment="1">
      <alignment horizontal="center"/>
    </xf>
    <xf numFmtId="184" fontId="2" fillId="0" borderId="0" xfId="0" applyNumberFormat="1" applyFont="1" applyAlignment="1">
      <alignment horizontal="center"/>
    </xf>
    <xf numFmtId="0" fontId="4" fillId="0" borderId="0" xfId="0" applyFont="1" applyAlignment="1">
      <alignment horizontal="left" wrapText="1"/>
    </xf>
    <xf numFmtId="0" fontId="2" fillId="0" borderId="3" xfId="0" applyFont="1" applyBorder="1" applyAlignment="1">
      <alignment horizontal="left" wrapText="1"/>
    </xf>
    <xf numFmtId="0" fontId="2" fillId="0" borderId="3" xfId="0" applyFont="1" applyBorder="1" applyAlignment="1">
      <alignment horizontal="left"/>
    </xf>
    <xf numFmtId="0" fontId="2" fillId="0" borderId="0" xfId="0" applyFont="1" applyAlignment="1">
      <alignment horizontal="left" wrapText="1"/>
    </xf>
    <xf numFmtId="0" fontId="2" fillId="0" borderId="1" xfId="0" applyFont="1" applyBorder="1" applyAlignment="1" applyProtection="1">
      <alignment horizontal="center"/>
      <protection locked="0"/>
    </xf>
    <xf numFmtId="0" fontId="9" fillId="0" borderId="1" xfId="0" applyFont="1" applyBorder="1" applyAlignment="1">
      <alignment horizontal="center"/>
    </xf>
    <xf numFmtId="0" fontId="4" fillId="0" borderId="0" xfId="0" applyFont="1" applyAlignment="1">
      <alignment wrapText="1"/>
    </xf>
    <xf numFmtId="0" fontId="2" fillId="0" borderId="1" xfId="0" applyFont="1" applyBorder="1" applyAlignment="1">
      <alignment horizontal="left"/>
    </xf>
    <xf numFmtId="0" fontId="7" fillId="0" borderId="0" xfId="0" applyFont="1" applyAlignment="1">
      <alignment wrapText="1"/>
    </xf>
    <xf numFmtId="0" fontId="7" fillId="0" borderId="0" xfId="0" applyFont="1" applyAlignment="1">
      <alignment horizontal="left" wrapText="1"/>
    </xf>
    <xf numFmtId="0" fontId="2" fillId="0" borderId="1" xfId="0" applyFont="1" applyBorder="1" applyAlignment="1">
      <alignment horizontal="center"/>
    </xf>
    <xf numFmtId="0" fontId="2" fillId="0" borderId="1" xfId="0" applyFont="1" applyBorder="1" applyAlignment="1">
      <alignment horizontal="center" wrapText="1"/>
    </xf>
    <xf numFmtId="0" fontId="5" fillId="0" borderId="1" xfId="0" applyFont="1" applyBorder="1" applyAlignment="1">
      <alignment horizontal="center" wrapText="1"/>
    </xf>
    <xf numFmtId="0" fontId="2" fillId="0" borderId="1" xfId="0" applyFont="1" applyBorder="1" applyAlignment="1">
      <alignment wrapText="1"/>
    </xf>
    <xf numFmtId="0" fontId="9" fillId="0" borderId="0" xfId="0" applyFont="1" applyAlignment="1">
      <alignment wrapText="1"/>
    </xf>
    <xf numFmtId="0" fontId="9" fillId="0" borderId="0" xfId="0" applyFont="1"/>
    <xf numFmtId="0" fontId="2" fillId="0" borderId="0" xfId="0" applyFont="1" applyAlignment="1" applyProtection="1">
      <alignment horizontal="left" wrapText="1"/>
      <protection locked="0"/>
    </xf>
    <xf numFmtId="0" fontId="2" fillId="0" borderId="1" xfId="0" applyFont="1" applyBorder="1" applyAlignment="1" applyProtection="1">
      <alignment horizontal="left" wrapText="1"/>
      <protection locked="0"/>
    </xf>
    <xf numFmtId="0" fontId="9" fillId="0" borderId="0" xfId="0" applyFont="1" applyAlignment="1">
      <alignment horizontal="left" indent="1"/>
    </xf>
    <xf numFmtId="0" fontId="2" fillId="0" borderId="0" xfId="0" applyFont="1" applyAlignment="1">
      <alignment horizontal="right"/>
    </xf>
    <xf numFmtId="0" fontId="2" fillId="0" borderId="3" xfId="0" applyFont="1" applyBorder="1" applyAlignment="1">
      <alignment horizontal="left" vertical="top"/>
    </xf>
    <xf numFmtId="186" fontId="2" fillId="0" borderId="0" xfId="0" applyNumberFormat="1" applyFont="1"/>
    <xf numFmtId="0" fontId="23" fillId="0" borderId="0" xfId="0" applyFont="1"/>
    <xf numFmtId="1" fontId="5" fillId="0" borderId="0" xfId="0" applyNumberFormat="1" applyFont="1" applyAlignment="1">
      <alignment horizontal="center"/>
    </xf>
    <xf numFmtId="164" fontId="2" fillId="0" borderId="1" xfId="0" applyNumberFormat="1" applyFont="1" applyBorder="1"/>
    <xf numFmtId="181" fontId="9" fillId="0" borderId="0" xfId="0" applyNumberFormat="1" applyFont="1"/>
    <xf numFmtId="1" fontId="9" fillId="0" borderId="0" xfId="0" applyNumberFormat="1" applyFont="1"/>
    <xf numFmtId="0" fontId="12" fillId="0" borderId="0" xfId="0" applyFont="1"/>
    <xf numFmtId="164" fontId="24" fillId="0" borderId="0" xfId="0" applyNumberFormat="1" applyFont="1" applyAlignment="1">
      <alignment horizontal="center"/>
    </xf>
    <xf numFmtId="0" fontId="4" fillId="0" borderId="0" xfId="0" applyFont="1" applyAlignment="1">
      <alignment vertical="center"/>
    </xf>
    <xf numFmtId="1" fontId="2" fillId="0" borderId="0" xfId="0" applyNumberFormat="1" applyFont="1" applyAlignment="1">
      <alignment horizontal="center" wrapText="1"/>
    </xf>
    <xf numFmtId="1" fontId="2" fillId="0" borderId="1" xfId="0" applyNumberFormat="1" applyFont="1" applyBorder="1" applyAlignment="1">
      <alignment horizontal="center" wrapText="1"/>
    </xf>
    <xf numFmtId="1" fontId="2" fillId="0" borderId="0" xfId="0" applyNumberFormat="1" applyFont="1" applyAlignment="1">
      <alignment horizontal="center" wrapText="1"/>
    </xf>
    <xf numFmtId="0" fontId="23" fillId="0" borderId="0" xfId="3">
      <alignment vertical="top"/>
      <protection locked="0"/>
    </xf>
    <xf numFmtId="0" fontId="23" fillId="0" borderId="0" xfId="3" applyAlignment="1">
      <alignment horizontal="left" vertical="top" indent="2"/>
      <protection locked="0"/>
    </xf>
    <xf numFmtId="0" fontId="23" fillId="0" borderId="0" xfId="3" applyProtection="1">
      <alignment vertical="top"/>
    </xf>
    <xf numFmtId="0" fontId="23" fillId="0" borderId="0" xfId="3" applyAlignment="1" applyProtection="1">
      <alignment horizontal="left"/>
    </xf>
    <xf numFmtId="0" fontId="23" fillId="0" borderId="0" xfId="3" applyAlignment="1">
      <alignment horizontal="left" vertical="top"/>
      <protection locked="0"/>
    </xf>
    <xf numFmtId="0" fontId="0" fillId="0" borderId="0" xfId="0" applyNumberFormat="1" applyAlignment="1">
      <alignment horizontal="left"/>
    </xf>
    <xf numFmtId="0" fontId="0" fillId="0" borderId="0" xfId="0" applyAlignment="1">
      <alignment horizontal="left"/>
    </xf>
    <xf numFmtId="0" fontId="2" fillId="0" borderId="0" xfId="0" applyFont="1" applyAlignment="1">
      <alignment wrapText="1"/>
    </xf>
    <xf numFmtId="0" fontId="4" fillId="0" borderId="0" xfId="0" applyFont="1" applyAlignment="1">
      <alignment horizontal="left" wrapText="1"/>
    </xf>
    <xf numFmtId="0" fontId="2" fillId="0" borderId="3" xfId="0" applyFont="1" applyBorder="1" applyAlignment="1">
      <alignment horizontal="left" wrapText="1"/>
    </xf>
    <xf numFmtId="0" fontId="2" fillId="0" borderId="3" xfId="0" applyFont="1" applyBorder="1" applyAlignment="1">
      <alignment horizontal="left"/>
    </xf>
    <xf numFmtId="0" fontId="2" fillId="0" borderId="0" xfId="0" applyFont="1"/>
    <xf numFmtId="0" fontId="9" fillId="0" borderId="0" xfId="0" applyFont="1" applyAlignment="1">
      <alignment horizontal="left"/>
    </xf>
    <xf numFmtId="0" fontId="2" fillId="0" borderId="0" xfId="0" applyFont="1" applyAlignment="1">
      <alignment horizontal="left" wrapText="1"/>
    </xf>
    <xf numFmtId="0" fontId="2" fillId="0" borderId="5" xfId="0" applyFont="1" applyBorder="1" applyAlignment="1">
      <alignment horizontal="center" wrapText="1"/>
    </xf>
    <xf numFmtId="0" fontId="2" fillId="0" borderId="0" xfId="0" applyFont="1" applyAlignment="1">
      <alignment horizontal="left"/>
    </xf>
    <xf numFmtId="0" fontId="4" fillId="0" borderId="0" xfId="0" applyFont="1" applyAlignment="1" applyProtection="1">
      <alignment horizontal="left" wrapText="1"/>
      <protection locked="0"/>
    </xf>
    <xf numFmtId="0" fontId="2" fillId="0" borderId="1" xfId="0" applyFont="1" applyBorder="1" applyAlignment="1" applyProtection="1">
      <alignment horizontal="center"/>
      <protection locked="0"/>
    </xf>
    <xf numFmtId="0" fontId="2" fillId="0" borderId="0" xfId="0" applyFont="1" applyAlignment="1" applyProtection="1">
      <alignment horizontal="left"/>
      <protection locked="0"/>
    </xf>
    <xf numFmtId="0" fontId="2" fillId="0" borderId="0" xfId="0" applyFont="1" applyAlignment="1" applyProtection="1">
      <alignment horizontal="left" wrapText="1"/>
      <protection locked="0"/>
    </xf>
    <xf numFmtId="0" fontId="9" fillId="0" borderId="1" xfId="0" applyFont="1" applyBorder="1" applyAlignment="1">
      <alignment horizontal="center"/>
    </xf>
    <xf numFmtId="0" fontId="12" fillId="0" borderId="0" xfId="0" applyFont="1" applyAlignment="1">
      <alignment horizontal="left" wrapText="1"/>
    </xf>
    <xf numFmtId="0" fontId="9" fillId="0" borderId="0" xfId="0" applyFont="1" applyAlignment="1">
      <alignment wrapText="1"/>
    </xf>
    <xf numFmtId="2" fontId="2" fillId="0" borderId="0" xfId="0" applyNumberFormat="1" applyFont="1" applyAlignment="1">
      <alignment horizontal="center"/>
    </xf>
    <xf numFmtId="0" fontId="23" fillId="0" borderId="0" xfId="3">
      <alignment vertical="top"/>
      <protection locked="0"/>
    </xf>
    <xf numFmtId="0" fontId="2" fillId="0" borderId="0" xfId="0" applyFont="1" applyAlignment="1">
      <alignment horizontal="center"/>
    </xf>
    <xf numFmtId="0" fontId="4" fillId="0" borderId="0" xfId="0" applyFont="1" applyAlignment="1">
      <alignment wrapText="1"/>
    </xf>
    <xf numFmtId="0" fontId="2" fillId="0" borderId="1" xfId="0" applyFont="1" applyBorder="1" applyAlignment="1">
      <alignment horizontal="left"/>
    </xf>
    <xf numFmtId="0" fontId="9" fillId="0" borderId="0" xfId="0" applyFont="1"/>
    <xf numFmtId="0" fontId="7" fillId="0" borderId="0" xfId="0" applyFont="1" applyAlignment="1">
      <alignment wrapText="1"/>
    </xf>
    <xf numFmtId="0" fontId="2" fillId="0" borderId="1" xfId="0" applyFont="1" applyBorder="1" applyAlignment="1">
      <alignment horizontal="center" vertical="center"/>
    </xf>
    <xf numFmtId="0" fontId="2" fillId="0" borderId="1" xfId="0" applyFont="1" applyBorder="1"/>
    <xf numFmtId="0" fontId="7" fillId="0" borderId="0" xfId="0" applyFont="1" applyAlignment="1">
      <alignment horizontal="left" wrapText="1"/>
    </xf>
    <xf numFmtId="0" fontId="5" fillId="0" borderId="4" xfId="0" applyFont="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center" wrapText="1"/>
    </xf>
    <xf numFmtId="0" fontId="5" fillId="0" borderId="1" xfId="0" applyFont="1" applyBorder="1" applyAlignment="1">
      <alignment horizontal="center" wrapText="1"/>
    </xf>
    <xf numFmtId="0" fontId="16" fillId="0" borderId="0" xfId="0" applyFont="1" applyAlignment="1">
      <alignment horizontal="left" wrapText="1"/>
    </xf>
    <xf numFmtId="0" fontId="2" fillId="0" borderId="1" xfId="0" applyFont="1" applyBorder="1" applyAlignment="1">
      <alignment wrapText="1"/>
    </xf>
  </cellXfs>
  <cellStyles count="5">
    <cellStyle name="Comma" xfId="1" builtinId="3" customBuiltin="1"/>
    <cellStyle name="Followed Hyperlink" xfId="4" builtinId="9" customBuiltin="1"/>
    <cellStyle name="Hyperlink" xfId="3" builtinId="8" customBuiltin="1"/>
    <cellStyle name="Normal" xfId="0" builtinId="0"/>
    <cellStyle name="Percent" xfId="2" builtinId="5" customBuiltin="1"/>
  </cellStyles>
  <dxfs count="1">
    <dxf>
      <numFmt numFmtId="187" formatCode="&quot;*&quot;;&quot;*&quot;"/>
    </dxf>
  </dxfs>
  <tableStyles count="0" defaultTableStyle="TableStyleMedium2" defaultPivotStyle="PivotStyleLight16"/>
  <colors>
    <mruColors>
      <color rgb="FF00485C"/>
      <color rgb="FF002235"/>
      <color rgb="FF123F11"/>
      <color rgb="FF1D491A"/>
      <color rgb="FF589DB4"/>
      <color rgb="FF277186"/>
      <color rgb="FF315D2D"/>
      <color rgb="FF719F6A"/>
      <color rgb="FF002300"/>
      <color rgb="FF4672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bo.gov/publication/62044"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cbo.gov/publication/62044"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cbo.gov/publication/62044"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cbo.gov/publication/62044"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cbo.gov/publication/62044"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cbo.gov/publication/62044"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cbo.gov/publication/62044"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cbo.gov/publication/62044"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cbo.gov/publication/62044"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cbo.gov/publication/62044"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cbo.gov/publication/62044"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cbo.gov/publication/62044"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cbo.gov/publication/62044"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cbo.gov/publication/62044"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cbo.gov/publication/62044"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cbo.gov/publication/62044"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cbo.gov/publication/62044"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cbo.gov/publication/62044"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cbo.gov/publication/62044"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cbo.gov/publication/62044"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cbo.gov/publication/62044"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cbo.gov/publication/62044"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cbo.gov/publication/62044"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cbo.gov/publication/62044"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cbo.gov/publication/620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37"/>
  <sheetViews>
    <sheetView tabSelected="1" zoomScaleNormal="100" workbookViewId="0"/>
  </sheetViews>
  <sheetFormatPr defaultColWidth="9.109375" defaultRowHeight="13.8" x14ac:dyDescent="0.25"/>
  <cols>
    <col min="1" max="1" width="137.44140625" style="16" customWidth="1"/>
    <col min="2" max="93" width="9.109375" style="16" customWidth="1"/>
    <col min="94" max="16384" width="9.109375" style="16"/>
  </cols>
  <sheetData>
    <row r="1" spans="1:8" ht="14.4" x14ac:dyDescent="0.3">
      <c r="A1" s="24" t="s">
        <v>215</v>
      </c>
    </row>
    <row r="2" spans="1:8" x14ac:dyDescent="0.25">
      <c r="A2" s="186" t="s">
        <v>0</v>
      </c>
    </row>
    <row r="4" spans="1:8" ht="27.6" x14ac:dyDescent="0.25">
      <c r="A4" s="9" t="s">
        <v>214</v>
      </c>
    </row>
    <row r="6" spans="1:8" ht="27.6" x14ac:dyDescent="0.25">
      <c r="A6" s="9" t="s">
        <v>178</v>
      </c>
    </row>
    <row r="7" spans="1:8" x14ac:dyDescent="0.25">
      <c r="A7" s="9"/>
    </row>
    <row r="8" spans="1:8" ht="51" customHeight="1" x14ac:dyDescent="0.25">
      <c r="A8" s="9" t="s">
        <v>179</v>
      </c>
    </row>
    <row r="9" spans="1:8" ht="15" customHeight="1" x14ac:dyDescent="0.25">
      <c r="A9" s="9"/>
    </row>
    <row r="10" spans="1:8" ht="16.05" customHeight="1" x14ac:dyDescent="0.25">
      <c r="A10" s="159" t="s">
        <v>1</v>
      </c>
    </row>
    <row r="11" spans="1:8" ht="15" customHeight="1" x14ac:dyDescent="0.25">
      <c r="A11" s="186" t="str">
        <f>HYPERLINK("#'1. Key Projections'!A1",TRIM(SUBSTITUTE(SUBSTITUTE('1. Key Projections'!A5,CHAR(10)," "),CHAR(13)," ")))</f>
        <v>1. Key Projections for Selected Years</v>
      </c>
      <c r="B11" s="175"/>
      <c r="C11" s="175"/>
      <c r="D11" s="175"/>
      <c r="E11" s="175"/>
      <c r="F11" s="175"/>
      <c r="G11" s="175"/>
      <c r="H11" s="175"/>
    </row>
    <row r="12" spans="1:8" ht="15" customHeight="1" x14ac:dyDescent="0.25">
      <c r="A12" s="187" t="str">
        <f>HYPERLINK("#'1a. Key Proj, Supp Data'!A1",TRIM(SUBSTITUTE(SUBSTITUTE('1a. Key Proj, Supp Data'!A5,CHAR(10)," "),CHAR(13)," ")))</f>
        <v>1a. Projections of Revenues and Outlays for Social Security and Medicare, 2026 to 2056</v>
      </c>
      <c r="B12" s="175"/>
      <c r="C12" s="175"/>
      <c r="D12" s="175"/>
      <c r="E12" s="175"/>
      <c r="F12" s="175"/>
      <c r="G12" s="175"/>
      <c r="H12" s="175"/>
    </row>
    <row r="13" spans="1:8" ht="15" customHeight="1" x14ac:dyDescent="0.25">
      <c r="A13" s="186" t="str">
        <f>HYPERLINK("#'2. Debt and Deficits'!A1",TRIM(SUBSTITUTE(SUBSTITUTE('2. Debt and Deficits'!A5,CHAR(10)," "),CHAR(13)," ")))</f>
        <v>2. Debt and Deficits</v>
      </c>
      <c r="B13" s="175"/>
      <c r="C13" s="175"/>
      <c r="D13" s="175"/>
      <c r="E13" s="175"/>
      <c r="F13" s="175"/>
      <c r="G13" s="175"/>
      <c r="H13" s="175"/>
    </row>
    <row r="14" spans="1:8" ht="15" customHeight="1" x14ac:dyDescent="0.25">
      <c r="A14" s="186" t="str">
        <f>HYPERLINK("#'3. Outlays and Revenues'!A1",TRIM(SUBSTITUTE(SUBSTITUTE('3. Outlays and Revenues'!A5,CHAR(10)," "),CHAR(13)," ")))</f>
        <v>3. Total Outlays and Revenues</v>
      </c>
      <c r="B14" s="175"/>
      <c r="C14" s="175"/>
      <c r="D14" s="175"/>
      <c r="E14" s="175"/>
      <c r="F14" s="175"/>
      <c r="G14" s="175"/>
      <c r="H14" s="175"/>
    </row>
    <row r="15" spans="1:8" ht="15" customHeight="1" x14ac:dyDescent="0.25">
      <c r="A15" s="186" t="str">
        <f>HYPERLINK("#'4. Outlays, by Category'!A1",TRIM(SUBSTITUTE(SUBSTITUTE('4. Outlays, by Category'!A5,CHAR(10)," "),CHAR(13)," ")))</f>
        <v>4. Outlays, by Category</v>
      </c>
      <c r="B15" s="175"/>
      <c r="C15" s="175"/>
      <c r="D15" s="175"/>
      <c r="E15" s="175"/>
      <c r="F15" s="175"/>
      <c r="G15" s="175"/>
      <c r="H15" s="175"/>
    </row>
    <row r="16" spans="1:8" ht="15" customHeight="1" x14ac:dyDescent="0.25">
      <c r="A16" s="186" t="str">
        <f>HYPERLINK("#'5. Composition of Outlays'!A1",TRIM(SUBSTITUTE(SUBSTITUTE('5. Composition of Outlays'!A5,CHAR(10)," "),CHAR(13)," ")))</f>
        <v>5. Composition of Outlays, 2026 and 2056</v>
      </c>
      <c r="B16" s="175"/>
      <c r="C16" s="175"/>
      <c r="D16" s="175"/>
      <c r="E16" s="175"/>
      <c r="F16" s="175"/>
      <c r="G16" s="175"/>
      <c r="H16" s="175"/>
    </row>
    <row r="17" spans="1:8" ht="15" customHeight="1" x14ac:dyDescent="0.25">
      <c r="A17" s="186" t="str">
        <f>HYPERLINK("#'6. Outlays for Health Care'!A1",TRIM(SUBSTITUTE(SUBSTITUTE('6. Outlays for Health Care'!A5,CHAR(10)," "),CHAR(13)," ")))</f>
        <v>6. Composition of Outlays for the Major Health Care Programs</v>
      </c>
      <c r="B17" s="175"/>
      <c r="C17" s="175"/>
      <c r="D17" s="175"/>
      <c r="E17" s="175"/>
      <c r="F17" s="175"/>
      <c r="G17" s="175"/>
      <c r="H17" s="175"/>
    </row>
    <row r="18" spans="1:8" ht="15" customHeight="1" x14ac:dyDescent="0.25">
      <c r="A18" s="186" t="str">
        <f>HYPERLINK("#'7. Growth in Outlays'!A1",TRIM(SUBSTITUTE(SUBSTITUTE('7. Growth in Outlays'!A5,CHAR(10)," "),CHAR(13)," ")))</f>
        <v>7. Composition of Growth in Outlays for the Major Health Care Programs and Social Security, 2026 to 2056</v>
      </c>
      <c r="B18" s="175"/>
      <c r="C18" s="175"/>
      <c r="D18" s="175"/>
      <c r="E18" s="175"/>
      <c r="F18" s="175"/>
      <c r="G18" s="175"/>
      <c r="H18" s="175"/>
    </row>
    <row r="19" spans="1:8" x14ac:dyDescent="0.25">
      <c r="A19" s="186" t="str">
        <f>HYPERLINK("#'8. Revenues, by Source'!A1",TRIM(SUBSTITUTE(SUBSTITUTE('8. Revenues, by Source'!A5,CHAR(10)," "),CHAR(13)," ")))</f>
        <v>8. Revenues, by Source</v>
      </c>
      <c r="B19" s="175"/>
      <c r="C19" s="175"/>
      <c r="D19" s="175"/>
      <c r="E19" s="175"/>
      <c r="F19" s="175"/>
      <c r="G19" s="175"/>
      <c r="H19" s="175"/>
    </row>
    <row r="20" spans="1:8" x14ac:dyDescent="0.25">
      <c r="A20" s="186" t="str">
        <f>HYPERLINK("#'9. Income Tax Rates'!A1",TRIM(SUBSTITUTE(SUBSTITUTE('9. Income Tax Rates'!A5,CHAR(10)," "),CHAR(13)," ")))</f>
        <v>9. Shares of Income Taxed at Different Rates Under the Individual Income Tax System</v>
      </c>
      <c r="B20" s="175"/>
      <c r="C20" s="175"/>
      <c r="D20" s="175"/>
      <c r="E20" s="175"/>
      <c r="F20" s="175"/>
      <c r="G20" s="175"/>
      <c r="H20" s="175"/>
    </row>
    <row r="21" spans="1:8" x14ac:dyDescent="0.25">
      <c r="A21" s="186" t="str">
        <f>HYPERLINK("#'10. Population Growth'!A1",TRIM(SUBSTITUTE(SUBSTITUTE('10. Population Growth'!A5,CHAR(10)," "),CHAR(13)," ")))</f>
        <v>10. Population Growth and Contributing Factors</v>
      </c>
      <c r="B21" s="175"/>
      <c r="C21" s="175"/>
      <c r="D21" s="175"/>
      <c r="E21" s="175"/>
      <c r="F21" s="175"/>
      <c r="G21" s="175"/>
      <c r="H21" s="175"/>
    </row>
    <row r="22" spans="1:8" x14ac:dyDescent="0.25">
      <c r="A22" s="186" t="str">
        <f>HYPERLINK("#'11. Pop, by Age Group'!A1",TRIM(SUBSTITUTE(SUBSTITUTE('11. Pop, by Age Group'!A5,CHAR(10)," "),CHAR(13)," ")))</f>
        <v>11. Population, by Age Group</v>
      </c>
      <c r="B22" s="175"/>
      <c r="C22" s="175"/>
      <c r="D22" s="175"/>
      <c r="E22" s="175"/>
      <c r="F22" s="175"/>
      <c r="G22" s="175"/>
      <c r="H22" s="175"/>
    </row>
    <row r="23" spans="1:8" x14ac:dyDescent="0.25">
      <c r="A23" s="186" t="str">
        <f>HYPERLINK("#'12. Key Econ Variables'!A1",TRIM(SUBSTITUTE(SUBSTITUTE('12. Key Econ Variables'!A5,CHAR(10)," "),CHAR(13)," ")))</f>
        <v>12. Average Annual Values for Key Economic Variables That Underlie CBO’s Extended Baseline Projections</v>
      </c>
      <c r="B23" s="175"/>
      <c r="C23" s="175"/>
      <c r="D23" s="175"/>
      <c r="E23" s="175"/>
      <c r="F23" s="175"/>
      <c r="G23" s="175"/>
      <c r="H23" s="175"/>
    </row>
    <row r="24" spans="1:8" x14ac:dyDescent="0.25">
      <c r="A24" s="186" t="str">
        <f>HYPERLINK("#'13. Add''l Econ Variables'!A1",TRIM(SUBSTITUTE(SUBSTITUTE('13. Add''l Econ Variables'!A5,CHAR(10)," "),CHAR(13)," ")))</f>
        <v>13. Average Annual Values for Additional Economic Variables That Underlie CBO’s Extended Baseline Projections</v>
      </c>
      <c r="B24" s="175"/>
      <c r="C24" s="175"/>
      <c r="D24" s="175"/>
      <c r="E24" s="175"/>
      <c r="F24" s="175"/>
      <c r="G24" s="175"/>
      <c r="H24" s="175"/>
    </row>
    <row r="25" spans="1:8" x14ac:dyDescent="0.25">
      <c r="A25" s="186" t="str">
        <f>HYPERLINK("#'14. GDP Growth'!A1",TRIM(SUBSTITUTE(SUBSTITUTE('14. GDP Growth'!A5,CHAR(10)," "),CHAR(13)," ")))</f>
        <v>14. Average Annual Growth of Real Potential GDP and Its Components</v>
      </c>
      <c r="B25" s="175"/>
      <c r="C25" s="175"/>
      <c r="D25" s="175"/>
      <c r="E25" s="175"/>
      <c r="F25" s="175"/>
      <c r="G25" s="175"/>
      <c r="H25" s="175"/>
    </row>
    <row r="26" spans="1:8" x14ac:dyDescent="0.25">
      <c r="A26" s="186" t="str">
        <f>HYPERLINK("#'15. Interest Rates'!A1",TRIM(SUBSTITUTE(SUBSTITUTE('15. Interest Rates'!A5,CHAR(10)," "),CHAR(13)," ")))</f>
        <v>15. Average Interest Rates on Federal Debt and on 10-year Treasury Notes</v>
      </c>
      <c r="B26" s="175"/>
      <c r="C26" s="175"/>
      <c r="D26" s="175"/>
      <c r="E26" s="175"/>
      <c r="F26" s="175"/>
      <c r="G26" s="175"/>
      <c r="H26" s="175"/>
    </row>
    <row r="27" spans="1:8" x14ac:dyDescent="0.25">
      <c r="A27" s="186" t="str">
        <f>HYPERLINK("#'16. 2025&amp;2026 Econ Proj'!A1",TRIM(SUBSTITUTE(SUBSTITUTE('16. 2025&amp;2026 Econ Proj'!A5,CHAR(10)," "),CHAR(13)," ")))</f>
        <v>16. CBO’s 2025 and 2026 Projections of Selected Economic Variables</v>
      </c>
      <c r="B27" s="175"/>
      <c r="C27" s="175"/>
      <c r="D27" s="175"/>
      <c r="E27" s="175"/>
      <c r="F27" s="175"/>
      <c r="G27" s="175"/>
      <c r="H27" s="175"/>
    </row>
    <row r="28" spans="1:8" x14ac:dyDescent="0.25">
      <c r="A28" s="186" t="str">
        <f>HYPERLINK("#'17. 2025&amp;2026 Lbr Force Proj'!A1",TRIM(SUBSTITUTE(SUBSTITUTE('17. 2025&amp;2026 Lbr Force Proj'!A5,CHAR(10)," "),CHAR(13)," ")))</f>
        <v>17. CBO’s 2025 and 2026 Projections of the Labor Force</v>
      </c>
      <c r="B28" s="175"/>
      <c r="C28" s="175"/>
      <c r="D28" s="175"/>
      <c r="E28" s="175"/>
      <c r="F28" s="175"/>
      <c r="G28" s="175"/>
      <c r="H28" s="175"/>
    </row>
    <row r="29" spans="1:8" x14ac:dyDescent="0.25">
      <c r="A29" s="186" t="str">
        <f>HYPERLINK("#'18. 2025&amp;2026 Real GDP Proj'!A1",TRIM(SUBSTITUTE(SUBSTITUTE('18. 2025&amp;2026 Real GDP Proj'!A5,CHAR(10)," "),CHAR(13)," ")))</f>
        <v>18. CBO’s 2025 and 2026 Projections of Real Potential GDP</v>
      </c>
      <c r="B29" s="175"/>
      <c r="C29" s="175"/>
      <c r="D29" s="175"/>
      <c r="E29" s="175"/>
      <c r="F29" s="175"/>
      <c r="G29" s="175"/>
      <c r="H29" s="175"/>
    </row>
    <row r="30" spans="1:8" x14ac:dyDescent="0.25">
      <c r="A30" s="186" t="str">
        <f>HYPERLINK("#'19. 2025&amp;2026 Int Rate Proj'!A1",TRIM(SUBSTITUTE(SUBSTITUTE('19. 2025&amp;2026 Int Rate Proj'!A5,CHAR(10)," "),CHAR(13)," ")))</f>
        <v>19. CBO’s 2025 and 2026 Projections of Interest Rates on 10-Year Treasury Notes</v>
      </c>
      <c r="B30" s="175"/>
      <c r="C30" s="175"/>
      <c r="D30" s="175"/>
      <c r="E30" s="175"/>
      <c r="F30" s="175"/>
      <c r="G30" s="175"/>
      <c r="H30" s="175"/>
    </row>
    <row r="31" spans="1:8" x14ac:dyDescent="0.25">
      <c r="A31" s="186" t="str">
        <f>HYPERLINK("#'20. 2025&amp;2026 Proj, Select Yrs'!A1",TRIM(SUBSTITUTE(SUBSTITUTE('20. 2025&amp;2026 Proj, Select Yrs'!A5,CHAR(10)," "),CHAR(13)," ")))</f>
        <v>20. CBO’s 2025 and 2026 Projections of Revenues, Outlays, Deficits, and Federal Debt Held by the Public in Selected Years</v>
      </c>
      <c r="B31" s="175"/>
      <c r="C31" s="175"/>
      <c r="D31" s="175"/>
      <c r="E31" s="175"/>
      <c r="F31" s="175"/>
      <c r="G31" s="175"/>
      <c r="H31" s="175"/>
    </row>
    <row r="32" spans="1:8" x14ac:dyDescent="0.25">
      <c r="A32" s="186" t="str">
        <f>HYPERLINK("#'21. 2025&amp;2026 Def &amp; Debt'!A1",TRIM(SUBSTITUTE(SUBSTITUTE('21. 2025&amp;2026 Def &amp; Debt'!A5,CHAR(10)," "),CHAR(13)," ")))</f>
        <v>21. CBO’s 2025 and 2026 Projections of Deficits and Federal Debt Held by the Public</v>
      </c>
      <c r="B32" s="175"/>
      <c r="C32" s="175"/>
      <c r="D32" s="175"/>
      <c r="E32" s="175"/>
      <c r="F32" s="175"/>
      <c r="G32" s="175"/>
      <c r="H32" s="175"/>
    </row>
    <row r="33" spans="1:8" x14ac:dyDescent="0.25">
      <c r="A33" s="186" t="str">
        <f>HYPERLINK("#'22. 2025&amp;2026 Outlay Proj'!A1",TRIM(SUBSTITUTE(SUBSTITUTE('22. 2025&amp;2026 Outlay Proj'!A5,CHAR(10)," "),CHAR(13)," ")))</f>
        <v>22. CBO’s 2025 and 2026 Projections of Outlays</v>
      </c>
      <c r="B33" s="175"/>
      <c r="C33" s="175"/>
      <c r="D33" s="175"/>
      <c r="E33" s="175"/>
      <c r="F33" s="175"/>
      <c r="G33" s="175"/>
      <c r="H33" s="175"/>
    </row>
    <row r="34" spans="1:8" x14ac:dyDescent="0.25">
      <c r="A34" s="186" t="str">
        <f>HYPERLINK("#'23. 2025&amp;2026 Rev Proj'!A1",TRIM(SUBSTITUTE(SUBSTITUTE('23. 2025&amp;2026 Rev Proj'!A5,CHAR(10)," "),CHAR(13)," ")))</f>
        <v>23. CBO’s 2025 and 2026 Projections of Revenues</v>
      </c>
      <c r="B34" s="175"/>
      <c r="C34" s="175"/>
      <c r="D34" s="175"/>
      <c r="E34" s="175"/>
      <c r="F34" s="175"/>
      <c r="G34" s="175"/>
      <c r="H34" s="175"/>
    </row>
    <row r="35" spans="1:8" x14ac:dyDescent="0.25">
      <c r="A35" s="188"/>
      <c r="B35" s="175"/>
      <c r="C35" s="175"/>
      <c r="D35" s="175"/>
      <c r="E35" s="175"/>
      <c r="F35" s="175"/>
      <c r="G35" s="175"/>
      <c r="H35" s="175"/>
    </row>
    <row r="36" spans="1:8" x14ac:dyDescent="0.25">
      <c r="A36" s="188"/>
      <c r="B36" s="175"/>
      <c r="C36" s="175"/>
      <c r="D36" s="175"/>
      <c r="E36" s="175"/>
      <c r="F36" s="175"/>
      <c r="G36" s="175"/>
      <c r="H36" s="175"/>
    </row>
    <row r="37" spans="1:8" x14ac:dyDescent="0.25">
      <c r="A37" s="186"/>
    </row>
  </sheetData>
  <hyperlinks>
    <hyperlink ref="A2" r:id="rId1" xr:uid="{A8580B85-113E-4A6B-A257-BFD52A4C893B}"/>
  </hyperlinks>
  <pageMargins left="0.7" right="0.7" top="0.75" bottom="0.75" header="0.3" footer="0.3"/>
  <pageSetup orientation="portrait" horizontalDpi="4294967295" verticalDpi="4294967295" r:id="rId2"/>
  <ignoredErrors>
    <ignoredError sqref="A11:A34"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690B9-16C2-4014-81FD-1D2013EAE271}">
  <sheetPr codeName="Sheet2"/>
  <dimension ref="A1:J55"/>
  <sheetViews>
    <sheetView zoomScaleNormal="100" workbookViewId="0"/>
  </sheetViews>
  <sheetFormatPr defaultColWidth="8.44140625" defaultRowHeight="13.8" x14ac:dyDescent="0.25"/>
  <cols>
    <col min="1" max="1" width="64.44140625" style="16" customWidth="1"/>
    <col min="2" max="5" width="11.44140625" style="16" customWidth="1"/>
    <col min="6" max="9" width="17.109375" style="16" customWidth="1"/>
    <col min="10" max="16384" width="8.44140625" style="16"/>
  </cols>
  <sheetData>
    <row r="1" spans="1:10" ht="14.4" x14ac:dyDescent="0.3">
      <c r="A1" s="24" t="s">
        <v>215</v>
      </c>
    </row>
    <row r="2" spans="1:10" x14ac:dyDescent="0.25">
      <c r="A2" s="186" t="s">
        <v>0</v>
      </c>
    </row>
    <row r="5" spans="1:10" ht="30" customHeight="1" x14ac:dyDescent="0.25">
      <c r="A5" s="194" t="s">
        <v>141</v>
      </c>
      <c r="B5" s="194"/>
      <c r="C5" s="194"/>
      <c r="D5" s="194"/>
      <c r="E5" s="194"/>
      <c r="F5" s="153"/>
      <c r="G5" s="153"/>
      <c r="H5" s="153"/>
      <c r="I5" s="153"/>
      <c r="J5" s="159"/>
    </row>
    <row r="6" spans="1:10" x14ac:dyDescent="0.25">
      <c r="A6" s="195" t="s">
        <v>2</v>
      </c>
      <c r="B6" s="196"/>
      <c r="C6" s="196"/>
      <c r="D6" s="196"/>
      <c r="E6" s="196"/>
    </row>
    <row r="8" spans="1:10" x14ac:dyDescent="0.25">
      <c r="A8" s="18"/>
      <c r="B8" s="90">
        <v>2026</v>
      </c>
      <c r="C8" s="90">
        <v>2036</v>
      </c>
      <c r="D8" s="90">
        <v>2046</v>
      </c>
      <c r="E8" s="90">
        <v>2056</v>
      </c>
      <c r="F8" s="20"/>
    </row>
    <row r="9" spans="1:10" x14ac:dyDescent="0.25">
      <c r="A9" s="16" t="s">
        <v>3</v>
      </c>
      <c r="B9" s="128"/>
      <c r="C9" s="62"/>
      <c r="D9" s="62"/>
      <c r="E9" s="62"/>
    </row>
    <row r="10" spans="1:10" x14ac:dyDescent="0.25">
      <c r="A10" s="48" t="s">
        <v>4</v>
      </c>
      <c r="B10" s="35">
        <v>8.6240000000000006</v>
      </c>
      <c r="C10" s="35">
        <v>9.0960000000000001</v>
      </c>
      <c r="D10" s="35">
        <v>9.6319999999999997</v>
      </c>
      <c r="E10" s="35">
        <v>10.115</v>
      </c>
      <c r="F10" s="35"/>
    </row>
    <row r="11" spans="1:10" x14ac:dyDescent="0.25">
      <c r="A11" s="48" t="s">
        <v>5</v>
      </c>
      <c r="B11" s="35">
        <v>5.7220000000000004</v>
      </c>
      <c r="C11" s="35">
        <v>5.7069999999999999</v>
      </c>
      <c r="D11" s="35">
        <v>5.6829999999999998</v>
      </c>
      <c r="E11" s="35">
        <v>5.66</v>
      </c>
      <c r="F11" s="35"/>
    </row>
    <row r="12" spans="1:10" x14ac:dyDescent="0.25">
      <c r="A12" s="48" t="s">
        <v>6</v>
      </c>
      <c r="B12" s="35">
        <v>1.266</v>
      </c>
      <c r="C12" s="35">
        <v>1.232</v>
      </c>
      <c r="D12" s="35">
        <v>1.284</v>
      </c>
      <c r="E12" s="35">
        <v>1.31</v>
      </c>
      <c r="F12" s="35"/>
    </row>
    <row r="13" spans="1:10" ht="16.2" x14ac:dyDescent="0.25">
      <c r="A13" s="48" t="s">
        <v>192</v>
      </c>
      <c r="B13" s="35">
        <v>1.3109999999999999</v>
      </c>
      <c r="C13" s="35">
        <v>0.86099999999999999</v>
      </c>
      <c r="D13" s="35">
        <v>0.751</v>
      </c>
      <c r="E13" s="35">
        <v>0.67400000000000004</v>
      </c>
      <c r="F13" s="35"/>
    </row>
    <row r="14" spans="1:10" ht="16.2" x14ac:dyDescent="0.25">
      <c r="A14" s="48" t="s">
        <v>193</v>
      </c>
      <c r="B14" s="39">
        <v>0.61699999999999999</v>
      </c>
      <c r="C14" s="39">
        <v>0.873</v>
      </c>
      <c r="D14" s="39">
        <v>0.97799999999999998</v>
      </c>
      <c r="E14" s="39">
        <v>1.0389999999999999</v>
      </c>
      <c r="F14" s="39"/>
    </row>
    <row r="15" spans="1:10" x14ac:dyDescent="0.25">
      <c r="A15" s="50" t="s">
        <v>7</v>
      </c>
      <c r="B15" s="40">
        <v>17.541</v>
      </c>
      <c r="C15" s="40">
        <v>17.77</v>
      </c>
      <c r="D15" s="40">
        <v>18.327999999999999</v>
      </c>
      <c r="E15" s="40">
        <v>18.797999999999998</v>
      </c>
      <c r="F15" s="40"/>
    </row>
    <row r="16" spans="1:10" x14ac:dyDescent="0.25">
      <c r="A16" s="50"/>
      <c r="B16" s="40"/>
      <c r="C16" s="40"/>
      <c r="D16" s="40"/>
      <c r="E16" s="40"/>
      <c r="F16" s="40"/>
    </row>
    <row r="17" spans="1:6" ht="21" customHeight="1" x14ac:dyDescent="0.25">
      <c r="A17" s="16" t="s">
        <v>8</v>
      </c>
      <c r="B17" s="128"/>
      <c r="C17" s="128"/>
      <c r="D17" s="128"/>
      <c r="E17" s="128"/>
    </row>
    <row r="18" spans="1:6" x14ac:dyDescent="0.25">
      <c r="A18" s="48" t="s">
        <v>9</v>
      </c>
      <c r="B18" s="128"/>
      <c r="C18" s="128"/>
      <c r="D18" s="128"/>
      <c r="E18" s="128"/>
    </row>
    <row r="19" spans="1:6" x14ac:dyDescent="0.25">
      <c r="A19" s="42" t="s">
        <v>10</v>
      </c>
      <c r="B19" s="35">
        <v>5.2220000000000004</v>
      </c>
      <c r="C19" s="35">
        <v>5.88</v>
      </c>
      <c r="D19" s="35">
        <v>5.774</v>
      </c>
      <c r="E19" s="35">
        <v>5.9909999999999997</v>
      </c>
      <c r="F19" s="35"/>
    </row>
    <row r="20" spans="1:6" ht="16.2" x14ac:dyDescent="0.25">
      <c r="A20" s="42" t="s">
        <v>194</v>
      </c>
      <c r="B20" s="35">
        <v>5.9820000000000002</v>
      </c>
      <c r="C20" s="35">
        <v>6.6689999999999996</v>
      </c>
      <c r="D20" s="35">
        <v>7.5590000000000002</v>
      </c>
      <c r="E20" s="35">
        <v>8.0850000000000009</v>
      </c>
      <c r="F20" s="35"/>
    </row>
    <row r="21" spans="1:6" x14ac:dyDescent="0.25">
      <c r="A21" s="42" t="s">
        <v>11</v>
      </c>
      <c r="B21" s="39">
        <v>2.9940000000000002</v>
      </c>
      <c r="C21" s="39">
        <v>2.4969999999999999</v>
      </c>
      <c r="D21" s="39">
        <v>2.3780000000000001</v>
      </c>
      <c r="E21" s="39">
        <v>2.2850000000000001</v>
      </c>
      <c r="F21" s="35"/>
    </row>
    <row r="22" spans="1:6" x14ac:dyDescent="0.25">
      <c r="A22" s="51" t="s">
        <v>12</v>
      </c>
      <c r="B22" s="35">
        <v>14.198</v>
      </c>
      <c r="C22" s="35">
        <v>15.045</v>
      </c>
      <c r="D22" s="35">
        <v>15.712</v>
      </c>
      <c r="E22" s="35">
        <v>16.361000000000001</v>
      </c>
      <c r="F22" s="35"/>
    </row>
    <row r="23" spans="1:6" x14ac:dyDescent="0.25">
      <c r="A23" s="48" t="s">
        <v>13</v>
      </c>
      <c r="B23" s="35">
        <v>5.8940000000000001</v>
      </c>
      <c r="C23" s="35">
        <v>4.8040000000000003</v>
      </c>
      <c r="D23" s="35">
        <v>4.641</v>
      </c>
      <c r="E23" s="35">
        <v>4.641</v>
      </c>
      <c r="F23" s="39"/>
    </row>
    <row r="24" spans="1:6" x14ac:dyDescent="0.25">
      <c r="A24" s="48" t="s">
        <v>14</v>
      </c>
      <c r="B24" s="39">
        <v>3.2570000000000001</v>
      </c>
      <c r="C24" s="39">
        <v>4.5910000000000002</v>
      </c>
      <c r="D24" s="39">
        <v>5.6760000000000002</v>
      </c>
      <c r="E24" s="39">
        <v>6.93</v>
      </c>
      <c r="F24" s="35"/>
    </row>
    <row r="25" spans="1:6" x14ac:dyDescent="0.25">
      <c r="A25" s="50" t="s">
        <v>7</v>
      </c>
      <c r="B25" s="35">
        <v>23.347999999999999</v>
      </c>
      <c r="C25" s="35">
        <v>24.439</v>
      </c>
      <c r="D25" s="35">
        <v>26.029</v>
      </c>
      <c r="E25" s="35">
        <v>27.931999999999999</v>
      </c>
      <c r="F25" s="35"/>
    </row>
    <row r="26" spans="1:6" ht="21" customHeight="1" x14ac:dyDescent="0.25">
      <c r="A26" s="12" t="s">
        <v>202</v>
      </c>
      <c r="B26" s="40">
        <v>-5.8070000000000004</v>
      </c>
      <c r="C26" s="40">
        <v>-6.6689999999999996</v>
      </c>
      <c r="D26" s="40">
        <v>-7.7009999999999996</v>
      </c>
      <c r="E26" s="40">
        <v>-9.1340000000000003</v>
      </c>
      <c r="F26" s="39"/>
    </row>
    <row r="27" spans="1:6" ht="21" customHeight="1" x14ac:dyDescent="0.25">
      <c r="A27" s="12" t="s">
        <v>203</v>
      </c>
      <c r="B27" s="91">
        <v>-2.5510000000000002</v>
      </c>
      <c r="C27" s="91">
        <v>-2.0790000000000002</v>
      </c>
      <c r="D27" s="91">
        <v>-2.0249999999999999</v>
      </c>
      <c r="E27" s="91">
        <v>-2.2040000000000002</v>
      </c>
      <c r="F27" s="40"/>
    </row>
    <row r="28" spans="1:6" ht="21" customHeight="1" x14ac:dyDescent="0.25">
      <c r="A28" s="12" t="s">
        <v>15</v>
      </c>
      <c r="B28" s="92">
        <v>100.605</v>
      </c>
      <c r="C28" s="92">
        <v>120.223</v>
      </c>
      <c r="D28" s="92">
        <v>144.49700000000001</v>
      </c>
      <c r="E28" s="92">
        <v>175.07599999999999</v>
      </c>
    </row>
    <row r="29" spans="1:6" x14ac:dyDescent="0.25">
      <c r="A29" s="12" t="s">
        <v>16</v>
      </c>
      <c r="B29" s="128"/>
      <c r="C29" s="128"/>
      <c r="D29" s="128"/>
      <c r="E29" s="128"/>
    </row>
    <row r="30" spans="1:6" x14ac:dyDescent="0.25">
      <c r="A30" s="16" t="s">
        <v>10</v>
      </c>
      <c r="B30" s="128"/>
      <c r="C30" s="128"/>
      <c r="D30" s="128"/>
      <c r="E30" s="128"/>
    </row>
    <row r="31" spans="1:6" ht="16.2" x14ac:dyDescent="0.25">
      <c r="A31" s="48" t="s">
        <v>204</v>
      </c>
      <c r="B31" s="93">
        <v>4.4420000000000002</v>
      </c>
      <c r="C31" s="35">
        <v>4.4509999999999996</v>
      </c>
      <c r="D31" s="35">
        <v>4.415</v>
      </c>
      <c r="E31" s="35">
        <v>4.3879999999999999</v>
      </c>
    </row>
    <row r="32" spans="1:6" ht="16.2" x14ac:dyDescent="0.25">
      <c r="A32" s="48" t="s">
        <v>205</v>
      </c>
      <c r="B32" s="39">
        <v>5.2220000000000004</v>
      </c>
      <c r="C32" s="39">
        <v>5.88</v>
      </c>
      <c r="D32" s="39">
        <v>5.774</v>
      </c>
      <c r="E32" s="39">
        <v>5.9909999999999997</v>
      </c>
    </row>
    <row r="33" spans="1:6" ht="21" customHeight="1" x14ac:dyDescent="0.25">
      <c r="A33" s="52" t="s">
        <v>206</v>
      </c>
      <c r="B33" s="40">
        <v>-0.78</v>
      </c>
      <c r="C33" s="40">
        <v>-1.429</v>
      </c>
      <c r="D33" s="40">
        <v>-1.36</v>
      </c>
      <c r="E33" s="40">
        <v>-1.6020000000000001</v>
      </c>
      <c r="F33" s="5"/>
    </row>
    <row r="34" spans="1:6" x14ac:dyDescent="0.25">
      <c r="A34" s="16" t="s">
        <v>17</v>
      </c>
      <c r="B34" s="35"/>
      <c r="C34" s="94"/>
      <c r="D34" s="94"/>
      <c r="E34" s="94"/>
      <c r="F34" s="35"/>
    </row>
    <row r="35" spans="1:6" ht="16.2" x14ac:dyDescent="0.25">
      <c r="A35" s="48" t="s">
        <v>204</v>
      </c>
      <c r="B35" s="35">
        <v>1.4570000000000001</v>
      </c>
      <c r="C35" s="35">
        <v>1.528</v>
      </c>
      <c r="D35" s="35">
        <v>1.57</v>
      </c>
      <c r="E35" s="35">
        <v>1.625</v>
      </c>
      <c r="F35" s="35"/>
    </row>
    <row r="36" spans="1:6" ht="16.2" x14ac:dyDescent="0.25">
      <c r="A36" s="48" t="s">
        <v>205</v>
      </c>
      <c r="B36" s="35">
        <v>4.0339999999999998</v>
      </c>
      <c r="C36" s="35">
        <v>5.1829999999999998</v>
      </c>
      <c r="D36" s="35">
        <v>6.2489999999999997</v>
      </c>
      <c r="E36" s="35">
        <v>6.8869999999999996</v>
      </c>
      <c r="F36" s="39"/>
    </row>
    <row r="37" spans="1:6" x14ac:dyDescent="0.25">
      <c r="A37" s="48" t="s">
        <v>18</v>
      </c>
      <c r="B37" s="39">
        <v>-0.70199999999999996</v>
      </c>
      <c r="C37" s="39">
        <v>-0.96599999999999997</v>
      </c>
      <c r="D37" s="39">
        <v>-1.248</v>
      </c>
      <c r="E37" s="39">
        <v>-1.4330000000000001</v>
      </c>
      <c r="F37" s="40"/>
    </row>
    <row r="38" spans="1:6" ht="21" customHeight="1" x14ac:dyDescent="0.25">
      <c r="A38" s="52" t="s">
        <v>206</v>
      </c>
      <c r="B38" s="40">
        <v>-1.875</v>
      </c>
      <c r="C38" s="40">
        <v>-2.6890000000000001</v>
      </c>
      <c r="D38" s="40">
        <v>-3.431</v>
      </c>
      <c r="E38" s="40">
        <v>-3.8279999999999998</v>
      </c>
      <c r="F38" s="35"/>
    </row>
    <row r="39" spans="1:6" x14ac:dyDescent="0.25">
      <c r="A39" s="16" t="s">
        <v>19</v>
      </c>
      <c r="B39" s="35">
        <v>31.902000000000001</v>
      </c>
      <c r="C39" s="35">
        <v>46.712000000000003</v>
      </c>
      <c r="D39" s="35">
        <v>67.459000000000003</v>
      </c>
      <c r="E39" s="35">
        <v>95.69</v>
      </c>
    </row>
    <row r="40" spans="1:6" x14ac:dyDescent="0.25">
      <c r="A40" s="18"/>
      <c r="B40" s="18"/>
      <c r="C40" s="18"/>
      <c r="D40" s="18"/>
      <c r="E40" s="18"/>
    </row>
    <row r="42" spans="1:6" x14ac:dyDescent="0.25">
      <c r="A42" s="197" t="s">
        <v>20</v>
      </c>
      <c r="B42" s="197"/>
      <c r="C42" s="197"/>
      <c r="D42" s="197"/>
      <c r="E42" s="197"/>
    </row>
    <row r="43" spans="1:6" ht="44.25" customHeight="1" x14ac:dyDescent="0.25">
      <c r="A43" s="193" t="s">
        <v>21</v>
      </c>
      <c r="B43" s="193"/>
      <c r="C43" s="193"/>
      <c r="D43" s="193"/>
      <c r="E43" s="193"/>
    </row>
    <row r="44" spans="1:6" ht="52.5" customHeight="1" x14ac:dyDescent="0.25">
      <c r="A44" s="193" t="s">
        <v>22</v>
      </c>
      <c r="B44" s="193"/>
      <c r="C44" s="193"/>
      <c r="D44" s="193"/>
      <c r="E44" s="193"/>
    </row>
    <row r="45" spans="1:6" ht="28.05" customHeight="1" x14ac:dyDescent="0.25">
      <c r="A45" s="198" t="s">
        <v>189</v>
      </c>
      <c r="B45" s="198"/>
      <c r="C45" s="198"/>
      <c r="D45" s="198"/>
      <c r="E45" s="198"/>
    </row>
    <row r="46" spans="1:6" ht="45" customHeight="1" x14ac:dyDescent="0.25">
      <c r="A46" s="193" t="s">
        <v>207</v>
      </c>
      <c r="B46" s="193"/>
      <c r="C46" s="193"/>
      <c r="D46" s="193"/>
      <c r="E46" s="193"/>
    </row>
    <row r="47" spans="1:6" ht="84.75" customHeight="1" x14ac:dyDescent="0.25">
      <c r="A47" s="193" t="s">
        <v>208</v>
      </c>
      <c r="B47" s="193"/>
      <c r="C47" s="193"/>
      <c r="D47" s="193"/>
      <c r="E47" s="193"/>
    </row>
    <row r="48" spans="1:6" ht="43.5" customHeight="1" x14ac:dyDescent="0.25">
      <c r="A48" s="193" t="s">
        <v>59</v>
      </c>
      <c r="B48" s="193"/>
      <c r="C48" s="193"/>
      <c r="D48" s="193"/>
      <c r="E48" s="193"/>
    </row>
    <row r="49" spans="1:5" ht="26.25" customHeight="1" x14ac:dyDescent="0.25">
      <c r="A49" s="193" t="s">
        <v>209</v>
      </c>
      <c r="B49" s="193"/>
      <c r="C49" s="193"/>
      <c r="D49" s="193"/>
      <c r="E49" s="193"/>
    </row>
    <row r="50" spans="1:5" ht="55.05" customHeight="1" x14ac:dyDescent="0.25">
      <c r="A50" s="193" t="s">
        <v>210</v>
      </c>
      <c r="B50" s="193"/>
      <c r="C50" s="193"/>
      <c r="D50" s="193"/>
      <c r="E50" s="193"/>
    </row>
    <row r="51" spans="1:5" ht="66" customHeight="1" x14ac:dyDescent="0.25">
      <c r="A51" s="193" t="s">
        <v>211</v>
      </c>
      <c r="B51" s="193"/>
      <c r="C51" s="193"/>
      <c r="D51" s="193"/>
      <c r="E51" s="193"/>
    </row>
    <row r="52" spans="1:5" ht="46.5" customHeight="1" x14ac:dyDescent="0.25">
      <c r="A52" s="193" t="s">
        <v>212</v>
      </c>
      <c r="B52" s="193"/>
      <c r="C52" s="193"/>
      <c r="D52" s="193"/>
      <c r="E52" s="193"/>
    </row>
    <row r="53" spans="1:5" ht="15" customHeight="1" x14ac:dyDescent="0.25">
      <c r="A53" s="166"/>
      <c r="B53" s="166"/>
      <c r="C53" s="166"/>
      <c r="D53" s="166"/>
      <c r="E53" s="166"/>
    </row>
    <row r="54" spans="1:5" ht="15.75" customHeight="1" x14ac:dyDescent="0.25">
      <c r="A54" s="9"/>
      <c r="B54" s="9"/>
      <c r="C54" s="9"/>
      <c r="D54" s="9"/>
      <c r="E54" s="9"/>
    </row>
    <row r="55" spans="1:5" x14ac:dyDescent="0.25">
      <c r="A55" s="186" t="s">
        <v>23</v>
      </c>
    </row>
  </sheetData>
  <mergeCells count="13">
    <mergeCell ref="A5:E5"/>
    <mergeCell ref="A6:E6"/>
    <mergeCell ref="A42:E42"/>
    <mergeCell ref="A43:E43"/>
    <mergeCell ref="A49:E49"/>
    <mergeCell ref="A45:E45"/>
    <mergeCell ref="A50:E50"/>
    <mergeCell ref="A51:E51"/>
    <mergeCell ref="A52:E52"/>
    <mergeCell ref="A44:E44"/>
    <mergeCell ref="A46:E46"/>
    <mergeCell ref="A47:E47"/>
    <mergeCell ref="A48:E48"/>
  </mergeCells>
  <hyperlinks>
    <hyperlink ref="A55" location="Contents!A1" display="Back to Table of Contents" xr:uid="{E33A1483-DAD9-4AA9-917E-2239C69D705A}"/>
    <hyperlink ref="A2" r:id="rId1" xr:uid="{8269BFD2-CAD8-2D46-8F76-43493A076F07}"/>
  </hyperlinks>
  <pageMargins left="0.7" right="0.7" top="0.75" bottom="0.75" header="0.3" footer="0.3"/>
  <pageSetup orientation="portrait" horizontalDpi="1200" verticalDpi="12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7F56B-F59B-41FE-88BB-F06A208C9FD0}">
  <sheetPr codeName="Sheet3"/>
  <dimension ref="A1:X46"/>
  <sheetViews>
    <sheetView zoomScaleNormal="100" workbookViewId="0"/>
  </sheetViews>
  <sheetFormatPr defaultColWidth="8.77734375" defaultRowHeight="13.8" x14ac:dyDescent="0.25"/>
  <cols>
    <col min="1" max="1" width="20.44140625" style="19" customWidth="1"/>
    <col min="2" max="2" width="13.77734375" style="20" customWidth="1"/>
    <col min="3" max="3" width="15.44140625" style="20" customWidth="1"/>
    <col min="4" max="4" width="1.44140625" style="20" customWidth="1"/>
    <col min="5" max="5" width="13.77734375" style="20" customWidth="1"/>
    <col min="6" max="6" width="15.44140625" style="20" customWidth="1"/>
    <col min="7" max="7" width="14.77734375" style="16" customWidth="1"/>
    <col min="8" max="16384" width="8.77734375" style="16"/>
  </cols>
  <sheetData>
    <row r="1" spans="1:24" ht="14.4" x14ac:dyDescent="0.3">
      <c r="A1" s="24" t="s">
        <v>215</v>
      </c>
    </row>
    <row r="2" spans="1:24" x14ac:dyDescent="0.25">
      <c r="A2" s="186" t="s">
        <v>0</v>
      </c>
    </row>
    <row r="3" spans="1:24" x14ac:dyDescent="0.25">
      <c r="A3" s="189"/>
    </row>
    <row r="5" spans="1:24" ht="30" customHeight="1" x14ac:dyDescent="0.25">
      <c r="A5" s="194" t="s">
        <v>142</v>
      </c>
      <c r="B5" s="194"/>
      <c r="C5" s="194"/>
      <c r="D5" s="194"/>
      <c r="E5" s="194"/>
      <c r="F5" s="194"/>
      <c r="G5" s="194"/>
    </row>
    <row r="6" spans="1:24" ht="15" customHeight="1" x14ac:dyDescent="0.25">
      <c r="A6" s="25" t="s">
        <v>49</v>
      </c>
      <c r="B6" s="38"/>
      <c r="C6" s="38"/>
      <c r="D6" s="38"/>
      <c r="E6" s="38"/>
      <c r="F6" s="38"/>
      <c r="G6" s="168"/>
      <c r="H6" s="168"/>
      <c r="I6" s="168"/>
      <c r="J6" s="168"/>
      <c r="K6" s="168"/>
      <c r="L6" s="168"/>
      <c r="M6" s="168"/>
      <c r="N6" s="168"/>
      <c r="O6" s="168"/>
      <c r="P6" s="168"/>
      <c r="Q6" s="168"/>
      <c r="R6" s="168"/>
      <c r="S6" s="168"/>
      <c r="T6" s="168"/>
      <c r="U6" s="168"/>
      <c r="V6" s="168"/>
      <c r="W6" s="168"/>
      <c r="X6" s="168"/>
    </row>
    <row r="7" spans="1:24" ht="28.5" customHeight="1" x14ac:dyDescent="0.25">
      <c r="B7" s="200" t="s">
        <v>10</v>
      </c>
      <c r="C7" s="200"/>
      <c r="E7" s="200" t="s">
        <v>17</v>
      </c>
      <c r="F7" s="200"/>
      <c r="G7" s="200"/>
    </row>
    <row r="8" spans="1:24" ht="27.6" x14ac:dyDescent="0.25">
      <c r="A8" s="160"/>
      <c r="B8" s="96" t="s">
        <v>175</v>
      </c>
      <c r="C8" s="96" t="s">
        <v>176</v>
      </c>
      <c r="D8" s="95"/>
      <c r="E8" s="96" t="s">
        <v>175</v>
      </c>
      <c r="F8" s="95" t="s">
        <v>24</v>
      </c>
      <c r="G8" s="96" t="s">
        <v>18</v>
      </c>
    </row>
    <row r="9" spans="1:24" x14ac:dyDescent="0.25">
      <c r="A9" s="82">
        <v>2026</v>
      </c>
      <c r="B9" s="35">
        <v>4.4420000000000002</v>
      </c>
      <c r="C9" s="35">
        <v>5.2220000000000004</v>
      </c>
      <c r="D9" s="62"/>
      <c r="E9" s="35">
        <v>1.4570000000000001</v>
      </c>
      <c r="F9" s="35">
        <v>4.0339999999999998</v>
      </c>
      <c r="G9" s="35">
        <v>-0.70199999999999996</v>
      </c>
    </row>
    <row r="10" spans="1:24" x14ac:dyDescent="0.25">
      <c r="A10" s="82">
        <v>2027</v>
      </c>
      <c r="B10" s="35">
        <v>4.4269999999999996</v>
      </c>
      <c r="C10" s="35">
        <v>5.31</v>
      </c>
      <c r="D10" s="62"/>
      <c r="E10" s="35">
        <v>1.464</v>
      </c>
      <c r="F10" s="35">
        <v>4.1230000000000002</v>
      </c>
      <c r="G10" s="35">
        <v>-0.70099999999999996</v>
      </c>
    </row>
    <row r="11" spans="1:24" x14ac:dyDescent="0.25">
      <c r="A11" s="82">
        <v>2028</v>
      </c>
      <c r="B11" s="35">
        <v>4.4210000000000003</v>
      </c>
      <c r="C11" s="35">
        <v>5.4089999999999998</v>
      </c>
      <c r="D11" s="62"/>
      <c r="E11" s="35">
        <v>1.4730000000000001</v>
      </c>
      <c r="F11" s="35">
        <v>4.1879999999999997</v>
      </c>
      <c r="G11" s="35">
        <v>-0.71799999999999997</v>
      </c>
    </row>
    <row r="12" spans="1:24" x14ac:dyDescent="0.25">
      <c r="A12" s="82">
        <v>2029</v>
      </c>
      <c r="B12" s="35">
        <v>4.4370000000000003</v>
      </c>
      <c r="C12" s="35">
        <v>5.4939999999999998</v>
      </c>
      <c r="D12" s="62"/>
      <c r="E12" s="35">
        <v>1.482</v>
      </c>
      <c r="F12" s="35">
        <v>4.3090000000000002</v>
      </c>
      <c r="G12" s="35">
        <v>-0.73899999999999999</v>
      </c>
    </row>
    <row r="13" spans="1:24" x14ac:dyDescent="0.25">
      <c r="A13" s="82">
        <v>2030</v>
      </c>
      <c r="B13" s="35">
        <v>4.4489999999999998</v>
      </c>
      <c r="C13" s="35">
        <v>5.57</v>
      </c>
      <c r="D13" s="62"/>
      <c r="E13" s="35">
        <v>1.492</v>
      </c>
      <c r="F13" s="35">
        <v>4.4089999999999998</v>
      </c>
      <c r="G13" s="35">
        <v>-0.78200000000000003</v>
      </c>
    </row>
    <row r="14" spans="1:24" x14ac:dyDescent="0.25">
      <c r="A14" s="82">
        <v>2031</v>
      </c>
      <c r="B14" s="35">
        <v>4.4550000000000001</v>
      </c>
      <c r="C14" s="35">
        <v>5.6420000000000003</v>
      </c>
      <c r="D14" s="62"/>
      <c r="E14" s="35">
        <v>1.498</v>
      </c>
      <c r="F14" s="35">
        <v>4.516</v>
      </c>
      <c r="G14" s="35">
        <v>-0.81399999999999995</v>
      </c>
    </row>
    <row r="15" spans="1:24" x14ac:dyDescent="0.25">
      <c r="A15" s="82">
        <v>2032</v>
      </c>
      <c r="B15" s="35">
        <v>4.4569999999999999</v>
      </c>
      <c r="C15" s="35">
        <v>5.7060000000000004</v>
      </c>
      <c r="D15" s="62"/>
      <c r="E15" s="35">
        <v>1.504</v>
      </c>
      <c r="F15" s="35">
        <v>4.6340000000000003</v>
      </c>
      <c r="G15" s="35">
        <v>-0.84499999999999997</v>
      </c>
    </row>
    <row r="16" spans="1:24" x14ac:dyDescent="0.25">
      <c r="A16" s="82">
        <v>2033</v>
      </c>
      <c r="B16" s="35">
        <v>4.4580000000000002</v>
      </c>
      <c r="C16" s="35">
        <v>5.7629999999999999</v>
      </c>
      <c r="D16" s="62"/>
      <c r="E16" s="35">
        <v>1.51</v>
      </c>
      <c r="F16" s="35">
        <v>4.7990000000000004</v>
      </c>
      <c r="G16" s="35">
        <v>-0.88</v>
      </c>
    </row>
    <row r="17" spans="1:7" x14ac:dyDescent="0.25">
      <c r="A17" s="82">
        <v>2034</v>
      </c>
      <c r="B17" s="35">
        <v>4.4550000000000001</v>
      </c>
      <c r="C17" s="35">
        <v>5.8090000000000002</v>
      </c>
      <c r="D17" s="62"/>
      <c r="E17" s="35">
        <v>1.516</v>
      </c>
      <c r="F17" s="35">
        <v>4.9459999999999997</v>
      </c>
      <c r="G17" s="35">
        <v>-0.90800000000000003</v>
      </c>
    </row>
    <row r="18" spans="1:7" x14ac:dyDescent="0.25">
      <c r="A18" s="82">
        <v>2035</v>
      </c>
      <c r="B18" s="35">
        <v>4.4530000000000003</v>
      </c>
      <c r="C18" s="35">
        <v>5.8470000000000004</v>
      </c>
      <c r="D18" s="62"/>
      <c r="E18" s="35">
        <v>1.522</v>
      </c>
      <c r="F18" s="35">
        <v>5.0659999999999998</v>
      </c>
      <c r="G18" s="35">
        <v>-0.93799999999999994</v>
      </c>
    </row>
    <row r="19" spans="1:7" x14ac:dyDescent="0.25">
      <c r="A19" s="82">
        <v>2036</v>
      </c>
      <c r="B19" s="35">
        <v>4.4509999999999996</v>
      </c>
      <c r="C19" s="35">
        <v>5.88</v>
      </c>
      <c r="D19" s="62"/>
      <c r="E19" s="35">
        <v>1.528</v>
      </c>
      <c r="F19" s="35">
        <v>5.1829999999999998</v>
      </c>
      <c r="G19" s="35">
        <v>-0.96599999999999997</v>
      </c>
    </row>
    <row r="20" spans="1:7" x14ac:dyDescent="0.25">
      <c r="A20" s="82">
        <v>2037</v>
      </c>
      <c r="B20" s="35">
        <v>4.4480000000000004</v>
      </c>
      <c r="C20" s="35">
        <v>5.8689999999999998</v>
      </c>
      <c r="D20" s="62"/>
      <c r="E20" s="35">
        <v>1.5329999999999999</v>
      </c>
      <c r="F20" s="35">
        <v>5.3040000000000003</v>
      </c>
      <c r="G20" s="35">
        <v>-1.006</v>
      </c>
    </row>
    <row r="21" spans="1:7" x14ac:dyDescent="0.25">
      <c r="A21" s="82">
        <v>2038</v>
      </c>
      <c r="B21" s="35">
        <v>4.4450000000000003</v>
      </c>
      <c r="C21" s="35">
        <v>5.8780000000000001</v>
      </c>
      <c r="D21" s="62"/>
      <c r="E21" s="35">
        <v>1.5329999999999999</v>
      </c>
      <c r="F21" s="35">
        <v>5.4290000000000003</v>
      </c>
      <c r="G21" s="35">
        <v>-1.0369999999999999</v>
      </c>
    </row>
    <row r="22" spans="1:7" x14ac:dyDescent="0.25">
      <c r="A22" s="82">
        <v>2039</v>
      </c>
      <c r="B22" s="35">
        <v>4.4409999999999998</v>
      </c>
      <c r="C22" s="35">
        <v>5.8609999999999998</v>
      </c>
      <c r="D22" s="62"/>
      <c r="E22" s="35">
        <v>1.538</v>
      </c>
      <c r="F22" s="35">
        <v>5.5469999999999997</v>
      </c>
      <c r="G22" s="35">
        <v>-1.0640000000000001</v>
      </c>
    </row>
    <row r="23" spans="1:7" x14ac:dyDescent="0.25">
      <c r="A23" s="82">
        <v>2040</v>
      </c>
      <c r="B23" s="35">
        <v>4.4359999999999999</v>
      </c>
      <c r="C23" s="35">
        <v>5.8049999999999997</v>
      </c>
      <c r="D23" s="62"/>
      <c r="E23" s="35">
        <v>1.5409999999999999</v>
      </c>
      <c r="F23" s="35">
        <v>5.6630000000000003</v>
      </c>
      <c r="G23" s="35">
        <v>-1.0980000000000001</v>
      </c>
    </row>
    <row r="24" spans="1:7" x14ac:dyDescent="0.25">
      <c r="A24" s="82">
        <v>2041</v>
      </c>
      <c r="B24" s="35">
        <v>4.431</v>
      </c>
      <c r="C24" s="35">
        <v>5.77</v>
      </c>
      <c r="D24" s="62"/>
      <c r="E24" s="35">
        <v>1.5449999999999999</v>
      </c>
      <c r="F24" s="35">
        <v>5.7759999999999998</v>
      </c>
      <c r="G24" s="35">
        <v>-1.1240000000000001</v>
      </c>
    </row>
    <row r="25" spans="1:7" x14ac:dyDescent="0.25">
      <c r="A25" s="82">
        <v>2042</v>
      </c>
      <c r="B25" s="35">
        <v>4.4290000000000003</v>
      </c>
      <c r="C25" s="35">
        <v>5.798</v>
      </c>
      <c r="D25" s="62"/>
      <c r="E25" s="35">
        <v>1.55</v>
      </c>
      <c r="F25" s="35">
        <v>5.8810000000000002</v>
      </c>
      <c r="G25" s="35">
        <v>-1.149</v>
      </c>
    </row>
    <row r="26" spans="1:7" x14ac:dyDescent="0.25">
      <c r="A26" s="82">
        <v>2043</v>
      </c>
      <c r="B26" s="35">
        <v>4.4249999999999998</v>
      </c>
      <c r="C26" s="35">
        <v>5.7779999999999996</v>
      </c>
      <c r="D26" s="62"/>
      <c r="E26" s="35">
        <v>1.5549999999999999</v>
      </c>
      <c r="F26" s="35">
        <v>5.9809999999999999</v>
      </c>
      <c r="G26" s="35">
        <v>-1.1759999999999999</v>
      </c>
    </row>
    <row r="27" spans="1:7" x14ac:dyDescent="0.25">
      <c r="A27" s="82">
        <v>2044</v>
      </c>
      <c r="B27" s="35">
        <v>4.4210000000000003</v>
      </c>
      <c r="C27" s="35">
        <v>5.7779999999999996</v>
      </c>
      <c r="D27" s="62"/>
      <c r="E27" s="35">
        <v>1.56</v>
      </c>
      <c r="F27" s="35">
        <v>6.0750000000000002</v>
      </c>
      <c r="G27" s="35">
        <v>-1.202</v>
      </c>
    </row>
    <row r="28" spans="1:7" x14ac:dyDescent="0.25">
      <c r="A28" s="82">
        <v>2045</v>
      </c>
      <c r="B28" s="35">
        <v>4.4169999999999998</v>
      </c>
      <c r="C28" s="35">
        <v>5.7720000000000002</v>
      </c>
      <c r="D28" s="62"/>
      <c r="E28" s="35">
        <v>1.5640000000000001</v>
      </c>
      <c r="F28" s="35">
        <v>6.1630000000000003</v>
      </c>
      <c r="G28" s="35">
        <v>-1.226</v>
      </c>
    </row>
    <row r="29" spans="1:7" x14ac:dyDescent="0.25">
      <c r="A29" s="82">
        <v>2046</v>
      </c>
      <c r="B29" s="35">
        <v>4.415</v>
      </c>
      <c r="C29" s="35">
        <v>5.774</v>
      </c>
      <c r="D29" s="62"/>
      <c r="E29" s="35">
        <v>1.57</v>
      </c>
      <c r="F29" s="35">
        <v>6.2489999999999997</v>
      </c>
      <c r="G29" s="35">
        <v>-1.248</v>
      </c>
    </row>
    <row r="30" spans="1:7" x14ac:dyDescent="0.25">
      <c r="A30" s="82">
        <v>2047</v>
      </c>
      <c r="B30" s="35">
        <v>4.4119999999999999</v>
      </c>
      <c r="C30" s="35">
        <v>5.7889999999999997</v>
      </c>
      <c r="D30" s="62"/>
      <c r="E30" s="35">
        <v>1.575</v>
      </c>
      <c r="F30" s="35">
        <v>6.3280000000000003</v>
      </c>
      <c r="G30" s="35">
        <v>-1.272</v>
      </c>
    </row>
    <row r="31" spans="1:7" x14ac:dyDescent="0.25">
      <c r="A31" s="82">
        <v>2048</v>
      </c>
      <c r="B31" s="35">
        <v>4.4089999999999998</v>
      </c>
      <c r="C31" s="35">
        <v>5.7990000000000004</v>
      </c>
      <c r="D31" s="62"/>
      <c r="E31" s="35">
        <v>1.581</v>
      </c>
      <c r="F31" s="35">
        <v>6.4050000000000002</v>
      </c>
      <c r="G31" s="35">
        <v>-1.294</v>
      </c>
    </row>
    <row r="32" spans="1:7" x14ac:dyDescent="0.25">
      <c r="A32" s="82">
        <v>2049</v>
      </c>
      <c r="B32" s="35">
        <v>4.4059999999999997</v>
      </c>
      <c r="C32" s="35">
        <v>5.8079999999999998</v>
      </c>
      <c r="D32" s="62"/>
      <c r="E32" s="35">
        <v>1.585</v>
      </c>
      <c r="F32" s="35">
        <v>6.4779999999999998</v>
      </c>
      <c r="G32" s="35">
        <v>-1.3129999999999999</v>
      </c>
    </row>
    <row r="33" spans="1:7" x14ac:dyDescent="0.25">
      <c r="A33" s="82">
        <v>2050</v>
      </c>
      <c r="B33" s="35">
        <v>4.4020000000000001</v>
      </c>
      <c r="C33" s="35">
        <v>5.8010000000000002</v>
      </c>
      <c r="D33" s="62"/>
      <c r="E33" s="35">
        <v>1.59</v>
      </c>
      <c r="F33" s="35">
        <v>6.5449999999999999</v>
      </c>
      <c r="G33" s="35">
        <v>-1.3320000000000001</v>
      </c>
    </row>
    <row r="34" spans="1:7" x14ac:dyDescent="0.25">
      <c r="A34" s="82">
        <v>2051</v>
      </c>
      <c r="B34" s="35">
        <v>4.4009999999999998</v>
      </c>
      <c r="C34" s="35">
        <v>5.84</v>
      </c>
      <c r="D34" s="62"/>
      <c r="E34" s="35">
        <v>1.5960000000000001</v>
      </c>
      <c r="F34" s="35">
        <v>6.61</v>
      </c>
      <c r="G34" s="35">
        <v>-1.349</v>
      </c>
    </row>
    <row r="35" spans="1:7" x14ac:dyDescent="0.25">
      <c r="A35" s="82">
        <v>2052</v>
      </c>
      <c r="B35" s="35">
        <v>4.399</v>
      </c>
      <c r="C35" s="35">
        <v>5.8970000000000002</v>
      </c>
      <c r="D35" s="62"/>
      <c r="E35" s="35">
        <v>1.603</v>
      </c>
      <c r="F35" s="35">
        <v>6.67</v>
      </c>
      <c r="G35" s="35">
        <v>-1.367</v>
      </c>
    </row>
    <row r="36" spans="1:7" x14ac:dyDescent="0.25">
      <c r="A36" s="82">
        <v>2053</v>
      </c>
      <c r="B36" s="35">
        <v>4.3959999999999999</v>
      </c>
      <c r="C36" s="35">
        <v>5.8890000000000002</v>
      </c>
      <c r="D36" s="62"/>
      <c r="E36" s="35">
        <v>1.609</v>
      </c>
      <c r="F36" s="35">
        <v>6.726</v>
      </c>
      <c r="G36" s="35">
        <v>-1.385</v>
      </c>
    </row>
    <row r="37" spans="1:7" x14ac:dyDescent="0.25">
      <c r="A37" s="82">
        <v>2054</v>
      </c>
      <c r="B37" s="35">
        <v>4.3949999999999996</v>
      </c>
      <c r="C37" s="35">
        <v>5.9450000000000003</v>
      </c>
      <c r="D37" s="62"/>
      <c r="E37" s="35">
        <v>1.615</v>
      </c>
      <c r="F37" s="35">
        <v>6.7789999999999999</v>
      </c>
      <c r="G37" s="35">
        <v>-1.4019999999999999</v>
      </c>
    </row>
    <row r="38" spans="1:7" x14ac:dyDescent="0.25">
      <c r="A38" s="82">
        <v>2055</v>
      </c>
      <c r="B38" s="35">
        <v>4.3920000000000003</v>
      </c>
      <c r="C38" s="35">
        <v>5.968</v>
      </c>
      <c r="D38" s="62"/>
      <c r="E38" s="35">
        <v>1.62</v>
      </c>
      <c r="F38" s="35">
        <v>6.8330000000000002</v>
      </c>
      <c r="G38" s="35">
        <v>-1.4179999999999999</v>
      </c>
    </row>
    <row r="39" spans="1:7" x14ac:dyDescent="0.25">
      <c r="A39" s="83">
        <v>2056</v>
      </c>
      <c r="B39" s="78">
        <v>4.3879999999999999</v>
      </c>
      <c r="C39" s="78">
        <v>5.9909999999999997</v>
      </c>
      <c r="D39" s="135" t="s">
        <v>25</v>
      </c>
      <c r="E39" s="78">
        <v>1.625</v>
      </c>
      <c r="F39" s="78">
        <v>6.8869999999999996</v>
      </c>
      <c r="G39" s="78">
        <v>-1.4330000000000001</v>
      </c>
    </row>
    <row r="40" spans="1:7" x14ac:dyDescent="0.25">
      <c r="C40" s="97"/>
      <c r="F40" s="97"/>
      <c r="G40" s="97"/>
    </row>
    <row r="41" spans="1:7" x14ac:dyDescent="0.25">
      <c r="A41" s="201" t="s">
        <v>26</v>
      </c>
      <c r="B41" s="201"/>
      <c r="C41" s="201"/>
      <c r="D41" s="201"/>
      <c r="E41" s="201"/>
      <c r="F41" s="201"/>
      <c r="G41" s="201"/>
    </row>
    <row r="42" spans="1:7" ht="56.25" customHeight="1" x14ac:dyDescent="0.25">
      <c r="A42" s="199" t="s">
        <v>27</v>
      </c>
      <c r="B42" s="199"/>
      <c r="C42" s="199"/>
      <c r="D42" s="199"/>
      <c r="E42" s="199"/>
      <c r="F42" s="199"/>
      <c r="G42" s="199"/>
    </row>
    <row r="43" spans="1:7" ht="56.25" customHeight="1" x14ac:dyDescent="0.25">
      <c r="A43" s="199" t="s">
        <v>28</v>
      </c>
      <c r="B43" s="199"/>
      <c r="C43" s="199"/>
      <c r="D43" s="199"/>
      <c r="E43" s="199"/>
      <c r="F43" s="199"/>
      <c r="G43" s="199"/>
    </row>
    <row r="44" spans="1:7" x14ac:dyDescent="0.25">
      <c r="A44" s="160"/>
      <c r="B44" s="163"/>
      <c r="C44" s="163"/>
      <c r="D44" s="163"/>
      <c r="E44" s="163"/>
      <c r="F44" s="163"/>
      <c r="G44" s="21"/>
    </row>
    <row r="46" spans="1:7" x14ac:dyDescent="0.25">
      <c r="A46" s="186" t="s">
        <v>23</v>
      </c>
    </row>
  </sheetData>
  <mergeCells count="6">
    <mergeCell ref="A5:G5"/>
    <mergeCell ref="A43:G43"/>
    <mergeCell ref="B7:C7"/>
    <mergeCell ref="E7:G7"/>
    <mergeCell ref="A42:G42"/>
    <mergeCell ref="A41:G41"/>
  </mergeCells>
  <hyperlinks>
    <hyperlink ref="A46" location="Contents!A1" display="Back to Table of Contents" xr:uid="{85D877F7-41BE-4B95-9FDC-202DED18BC2E}"/>
    <hyperlink ref="A2" r:id="rId1" xr:uid="{E669EC55-C6F1-364B-9F76-824AEA685A0B}"/>
  </hyperlinks>
  <pageMargins left="0.7" right="0.7" top="0.75" bottom="0.75" header="0.3" footer="0.3"/>
  <pageSetup orientation="portrait" horizontalDpi="4294967295" verticalDpi="4294967295"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9DAD9-929D-BD4A-9B3D-96A91BB820AD}">
  <sheetPr codeName="Sheet6"/>
  <dimension ref="A1:K179"/>
  <sheetViews>
    <sheetView zoomScaleNormal="100" workbookViewId="0"/>
  </sheetViews>
  <sheetFormatPr defaultColWidth="28.109375" defaultRowHeight="14.25" customHeight="1" x14ac:dyDescent="0.25"/>
  <cols>
    <col min="1" max="1" width="16.44140625" style="19" customWidth="1"/>
    <col min="2" max="2" width="16.109375" style="99" customWidth="1"/>
    <col min="3" max="4" width="16.109375" style="100" customWidth="1"/>
    <col min="5" max="5" width="1.44140625" style="100" customWidth="1"/>
    <col min="6" max="6" width="16.109375" style="46" customWidth="1"/>
    <col min="7" max="7" width="13.44140625" style="16" customWidth="1"/>
    <col min="8" max="8" width="14.109375" style="44" customWidth="1"/>
    <col min="9" max="157" width="14.109375" style="16" customWidth="1"/>
    <col min="158" max="16384" width="28.109375" style="16"/>
  </cols>
  <sheetData>
    <row r="1" spans="1:11" ht="14.25" customHeight="1" x14ac:dyDescent="0.3">
      <c r="A1" s="24" t="s">
        <v>215</v>
      </c>
    </row>
    <row r="2" spans="1:11" ht="14.25" customHeight="1" x14ac:dyDescent="0.25">
      <c r="A2" s="186" t="s">
        <v>0</v>
      </c>
    </row>
    <row r="4" spans="1:11" ht="15" customHeight="1" x14ac:dyDescent="0.25">
      <c r="F4" s="101"/>
      <c r="J4" s="2"/>
      <c r="K4" s="4"/>
    </row>
    <row r="5" spans="1:11" ht="30" customHeight="1" x14ac:dyDescent="0.25">
      <c r="A5" s="194" t="s">
        <v>143</v>
      </c>
      <c r="B5" s="194"/>
      <c r="C5" s="194"/>
      <c r="D5" s="194"/>
      <c r="E5" s="194"/>
      <c r="F5" s="194"/>
      <c r="H5" s="16"/>
    </row>
    <row r="6" spans="1:11" ht="15" customHeight="1" x14ac:dyDescent="0.25">
      <c r="A6" s="160" t="s">
        <v>49</v>
      </c>
      <c r="B6" s="102"/>
      <c r="C6" s="103"/>
      <c r="D6" s="103"/>
      <c r="E6" s="103"/>
      <c r="F6" s="177"/>
      <c r="J6" s="2"/>
      <c r="K6" s="4"/>
    </row>
    <row r="7" spans="1:11" ht="15" customHeight="1" x14ac:dyDescent="0.25">
      <c r="C7" s="104"/>
      <c r="D7" s="105"/>
      <c r="E7" s="105"/>
      <c r="G7" s="9"/>
      <c r="J7" s="2"/>
      <c r="K7" s="4"/>
    </row>
    <row r="8" spans="1:11" ht="45" customHeight="1" x14ac:dyDescent="0.25">
      <c r="A8" s="160"/>
      <c r="B8" s="106" t="s">
        <v>187</v>
      </c>
      <c r="C8" s="107" t="s">
        <v>60</v>
      </c>
      <c r="D8" s="107" t="s">
        <v>188</v>
      </c>
      <c r="E8" s="107"/>
      <c r="F8" s="108" t="s">
        <v>57</v>
      </c>
      <c r="G8" s="9"/>
      <c r="H8" s="16"/>
      <c r="J8" s="2"/>
      <c r="K8" s="4"/>
    </row>
    <row r="9" spans="1:11" ht="15" customHeight="1" x14ac:dyDescent="0.25">
      <c r="A9" s="127">
        <v>1940</v>
      </c>
      <c r="B9" s="35">
        <v>2.085</v>
      </c>
      <c r="C9" s="35">
        <v>0.91500000000000004</v>
      </c>
      <c r="D9" s="35">
        <v>3</v>
      </c>
      <c r="E9" s="109"/>
      <c r="F9" s="176">
        <v>43.6</v>
      </c>
      <c r="H9" s="16"/>
    </row>
    <row r="10" spans="1:11" ht="15" customHeight="1" x14ac:dyDescent="0.25">
      <c r="A10" s="127">
        <v>1941</v>
      </c>
      <c r="B10" s="35">
        <v>3.488</v>
      </c>
      <c r="C10" s="35">
        <v>0.81200000000000006</v>
      </c>
      <c r="D10" s="35">
        <v>4.3</v>
      </c>
      <c r="E10" s="109"/>
      <c r="F10" s="176">
        <v>41.5</v>
      </c>
      <c r="H10" s="16"/>
    </row>
    <row r="11" spans="1:11" ht="15" customHeight="1" x14ac:dyDescent="0.25">
      <c r="A11" s="127">
        <v>1942</v>
      </c>
      <c r="B11" s="35">
        <v>13.188000000000001</v>
      </c>
      <c r="C11" s="35">
        <v>0.71199999999999997</v>
      </c>
      <c r="D11" s="35">
        <v>13.9</v>
      </c>
      <c r="E11" s="109"/>
      <c r="F11" s="176">
        <v>45.9</v>
      </c>
      <c r="H11" s="16"/>
    </row>
    <row r="12" spans="1:11" ht="15" customHeight="1" x14ac:dyDescent="0.25">
      <c r="A12" s="127">
        <v>1943</v>
      </c>
      <c r="B12" s="35">
        <v>28.771999999999998</v>
      </c>
      <c r="C12" s="35">
        <v>0.82799999999999996</v>
      </c>
      <c r="D12" s="35">
        <v>29.6</v>
      </c>
      <c r="E12" s="109"/>
      <c r="F12" s="176">
        <v>69.2</v>
      </c>
      <c r="H12" s="16"/>
    </row>
    <row r="13" spans="1:11" ht="15" customHeight="1" x14ac:dyDescent="0.25">
      <c r="A13" s="127">
        <v>1944</v>
      </c>
      <c r="B13" s="35">
        <v>21.161999999999999</v>
      </c>
      <c r="C13" s="35">
        <v>1.038</v>
      </c>
      <c r="D13" s="35">
        <v>22.2</v>
      </c>
      <c r="E13" s="109"/>
      <c r="F13" s="176">
        <v>86.4</v>
      </c>
      <c r="H13" s="16"/>
    </row>
    <row r="14" spans="1:11" ht="15" customHeight="1" x14ac:dyDescent="0.25">
      <c r="A14" s="127">
        <v>1945</v>
      </c>
      <c r="B14" s="35">
        <v>19.625</v>
      </c>
      <c r="C14" s="35">
        <v>1.375</v>
      </c>
      <c r="D14" s="35">
        <v>21</v>
      </c>
      <c r="E14" s="109"/>
      <c r="F14" s="176">
        <v>103.9</v>
      </c>
      <c r="H14" s="16"/>
    </row>
    <row r="15" spans="1:11" ht="15" customHeight="1" x14ac:dyDescent="0.25">
      <c r="A15" s="127">
        <v>1946</v>
      </c>
      <c r="B15" s="35">
        <v>5.1970000000000001</v>
      </c>
      <c r="C15" s="35">
        <v>1.8029999999999999</v>
      </c>
      <c r="D15" s="35">
        <v>7</v>
      </c>
      <c r="E15" s="109"/>
      <c r="F15" s="176">
        <v>106.1</v>
      </c>
      <c r="H15" s="16"/>
    </row>
    <row r="16" spans="1:11" ht="15" customHeight="1" x14ac:dyDescent="0.25">
      <c r="A16" s="127">
        <v>1947</v>
      </c>
      <c r="B16" s="35">
        <v>-3.46</v>
      </c>
      <c r="C16" s="35">
        <v>1.76</v>
      </c>
      <c r="D16" s="35">
        <v>-1.7</v>
      </c>
      <c r="E16" s="109"/>
      <c r="F16" s="176">
        <v>93.9</v>
      </c>
      <c r="H16" s="16"/>
    </row>
    <row r="17" spans="1:8" ht="15" customHeight="1" x14ac:dyDescent="0.25">
      <c r="A17" s="127">
        <v>1948</v>
      </c>
      <c r="B17" s="35">
        <v>-6.1580000000000004</v>
      </c>
      <c r="C17" s="35">
        <v>1.6579999999999999</v>
      </c>
      <c r="D17" s="35">
        <v>-4.5</v>
      </c>
      <c r="E17" s="109"/>
      <c r="F17" s="176">
        <v>82.6</v>
      </c>
      <c r="H17" s="16"/>
    </row>
    <row r="18" spans="1:8" ht="15" customHeight="1" x14ac:dyDescent="0.25">
      <c r="A18" s="127">
        <v>1949</v>
      </c>
      <c r="B18" s="35">
        <v>-1.8360000000000001</v>
      </c>
      <c r="C18" s="35">
        <v>1.6359999999999999</v>
      </c>
      <c r="D18" s="35">
        <v>-0.2</v>
      </c>
      <c r="E18" s="109"/>
      <c r="F18" s="176">
        <v>77.5</v>
      </c>
      <c r="H18" s="16"/>
    </row>
    <row r="19" spans="1:8" ht="15" customHeight="1" x14ac:dyDescent="0.25">
      <c r="A19" s="127">
        <v>1950</v>
      </c>
      <c r="B19" s="35">
        <v>-0.60799999999999998</v>
      </c>
      <c r="C19" s="35">
        <v>1.7270000000000001</v>
      </c>
      <c r="D19" s="35">
        <v>1.119</v>
      </c>
      <c r="E19" s="109"/>
      <c r="F19" s="176">
        <v>78.593999999999994</v>
      </c>
      <c r="H19" s="16"/>
    </row>
    <row r="20" spans="1:8" ht="15" customHeight="1" x14ac:dyDescent="0.25">
      <c r="A20" s="127">
        <v>1951</v>
      </c>
      <c r="B20" s="35">
        <v>-3.2919999999999998</v>
      </c>
      <c r="C20" s="35">
        <v>1.4259999999999999</v>
      </c>
      <c r="D20" s="35">
        <v>-1.8660000000000001</v>
      </c>
      <c r="E20" s="109"/>
      <c r="F20" s="176">
        <v>65.533000000000001</v>
      </c>
      <c r="H20" s="16"/>
    </row>
    <row r="21" spans="1:8" ht="15" customHeight="1" x14ac:dyDescent="0.25">
      <c r="A21" s="127">
        <v>1952</v>
      </c>
      <c r="B21" s="35">
        <v>-0.89100000000000001</v>
      </c>
      <c r="C21" s="35">
        <v>1.3160000000000001</v>
      </c>
      <c r="D21" s="35">
        <v>0.42499999999999999</v>
      </c>
      <c r="E21" s="109"/>
      <c r="F21" s="176">
        <v>60.139000000000003</v>
      </c>
      <c r="H21" s="16"/>
    </row>
    <row r="22" spans="1:8" ht="15" customHeight="1" x14ac:dyDescent="0.25">
      <c r="A22" s="127">
        <v>1953</v>
      </c>
      <c r="B22" s="35">
        <v>0.35</v>
      </c>
      <c r="C22" s="35">
        <v>1.35</v>
      </c>
      <c r="D22" s="35">
        <v>1.7</v>
      </c>
      <c r="E22" s="109"/>
      <c r="F22" s="176">
        <v>57.161000000000001</v>
      </c>
      <c r="H22" s="16"/>
    </row>
    <row r="23" spans="1:8" ht="15" customHeight="1" x14ac:dyDescent="0.25">
      <c r="A23" s="127">
        <v>1954</v>
      </c>
      <c r="B23" s="35">
        <v>-0.94499999999999995</v>
      </c>
      <c r="C23" s="35">
        <v>1.2430000000000001</v>
      </c>
      <c r="D23" s="35">
        <v>0.29799999999999999</v>
      </c>
      <c r="E23" s="109"/>
      <c r="F23" s="176">
        <v>57.988</v>
      </c>
      <c r="H23" s="16"/>
    </row>
    <row r="24" spans="1:8" ht="15" customHeight="1" x14ac:dyDescent="0.25">
      <c r="A24" s="127">
        <v>1955</v>
      </c>
      <c r="B24" s="35">
        <v>-0.45700000000000002</v>
      </c>
      <c r="C24" s="35">
        <v>1.194</v>
      </c>
      <c r="D24" s="35">
        <v>0.73699999999999999</v>
      </c>
      <c r="E24" s="109"/>
      <c r="F24" s="176">
        <v>55.771999999999998</v>
      </c>
      <c r="H24" s="16"/>
    </row>
    <row r="25" spans="1:8" ht="15" customHeight="1" x14ac:dyDescent="0.25">
      <c r="A25" s="127">
        <v>1956</v>
      </c>
      <c r="B25" s="35">
        <v>-2.06</v>
      </c>
      <c r="C25" s="35">
        <v>1.159</v>
      </c>
      <c r="D25" s="35">
        <v>-0.90100000000000002</v>
      </c>
      <c r="E25" s="109"/>
      <c r="F25" s="176">
        <v>50.692</v>
      </c>
      <c r="H25" s="16"/>
    </row>
    <row r="26" spans="1:8" ht="15" customHeight="1" x14ac:dyDescent="0.25">
      <c r="A26" s="127">
        <v>1957</v>
      </c>
      <c r="B26" s="35">
        <v>-1.8919999999999999</v>
      </c>
      <c r="C26" s="35">
        <v>1.155</v>
      </c>
      <c r="D26" s="35">
        <v>-0.73599999999999999</v>
      </c>
      <c r="E26" s="109"/>
      <c r="F26" s="176">
        <v>47.331000000000003</v>
      </c>
      <c r="H26" s="16"/>
    </row>
    <row r="27" spans="1:8" ht="15" customHeight="1" x14ac:dyDescent="0.25">
      <c r="A27" s="127">
        <v>1958</v>
      </c>
      <c r="B27" s="35">
        <v>-0.59899999999999998</v>
      </c>
      <c r="C27" s="35">
        <v>1.1839999999999999</v>
      </c>
      <c r="D27" s="35">
        <v>0.58499999999999996</v>
      </c>
      <c r="E27" s="109"/>
      <c r="F27" s="176">
        <v>47.802999999999997</v>
      </c>
      <c r="H27" s="16"/>
    </row>
    <row r="28" spans="1:8" ht="15" customHeight="1" x14ac:dyDescent="0.25">
      <c r="A28" s="127">
        <v>1959</v>
      </c>
      <c r="B28" s="35">
        <v>1.4039999999999999</v>
      </c>
      <c r="C28" s="35">
        <v>1.1419999999999999</v>
      </c>
      <c r="D28" s="35">
        <v>2.5459999999999998</v>
      </c>
      <c r="E28" s="109"/>
      <c r="F28" s="176">
        <v>46.512</v>
      </c>
      <c r="H28" s="16"/>
    </row>
    <row r="29" spans="1:8" ht="15" customHeight="1" x14ac:dyDescent="0.25">
      <c r="A29" s="127">
        <v>1960</v>
      </c>
      <c r="B29" s="35">
        <v>-1.3560000000000001</v>
      </c>
      <c r="C29" s="35">
        <v>1.3</v>
      </c>
      <c r="D29" s="35">
        <v>-5.6000000000000001E-2</v>
      </c>
      <c r="E29" s="109"/>
      <c r="F29" s="176">
        <v>44.325000000000003</v>
      </c>
      <c r="H29" s="16"/>
    </row>
    <row r="30" spans="1:8" ht="15" customHeight="1" x14ac:dyDescent="0.25">
      <c r="A30" s="127">
        <v>1961</v>
      </c>
      <c r="B30" s="35">
        <v>-0.61899999999999999</v>
      </c>
      <c r="C30" s="35">
        <v>1.2290000000000001</v>
      </c>
      <c r="D30" s="35">
        <v>0.61</v>
      </c>
      <c r="E30" s="109"/>
      <c r="F30" s="176">
        <v>43.609000000000002</v>
      </c>
      <c r="H30" s="16"/>
    </row>
    <row r="31" spans="1:8" ht="15" customHeight="1" x14ac:dyDescent="0.25">
      <c r="A31" s="127">
        <v>1962</v>
      </c>
      <c r="B31" s="35">
        <v>4.3999999999999997E-2</v>
      </c>
      <c r="C31" s="35">
        <v>1.1759999999999999</v>
      </c>
      <c r="D31" s="35">
        <v>1.22</v>
      </c>
      <c r="E31" s="109"/>
      <c r="F31" s="41">
        <v>42.345999999999997</v>
      </c>
      <c r="H31" s="16"/>
    </row>
    <row r="32" spans="1:8" ht="15" customHeight="1" x14ac:dyDescent="0.25">
      <c r="A32" s="127">
        <v>1963</v>
      </c>
      <c r="B32" s="35">
        <v>-0.48299999999999998</v>
      </c>
      <c r="C32" s="35">
        <v>1.252</v>
      </c>
      <c r="D32" s="35">
        <v>0.76900000000000002</v>
      </c>
      <c r="E32" s="109"/>
      <c r="F32" s="41">
        <v>41.082999999999998</v>
      </c>
      <c r="H32" s="16"/>
    </row>
    <row r="33" spans="1:8" ht="15" customHeight="1" x14ac:dyDescent="0.25">
      <c r="A33" s="127">
        <v>1964</v>
      </c>
      <c r="B33" s="35">
        <v>-0.34499999999999997</v>
      </c>
      <c r="C33" s="35">
        <v>1.2390000000000001</v>
      </c>
      <c r="D33" s="35">
        <v>0.89400000000000002</v>
      </c>
      <c r="E33" s="109"/>
      <c r="F33" s="41">
        <v>38.817</v>
      </c>
      <c r="H33" s="16"/>
    </row>
    <row r="34" spans="1:8" ht="15" customHeight="1" x14ac:dyDescent="0.25">
      <c r="A34" s="127">
        <v>1965</v>
      </c>
      <c r="B34" s="35">
        <v>-1.012</v>
      </c>
      <c r="C34" s="35">
        <v>1.2110000000000001</v>
      </c>
      <c r="D34" s="35">
        <v>0.19900000000000001</v>
      </c>
      <c r="E34" s="109"/>
      <c r="F34" s="41">
        <v>36.764000000000003</v>
      </c>
      <c r="H34" s="16"/>
    </row>
    <row r="35" spans="1:8" ht="15" customHeight="1" x14ac:dyDescent="0.25">
      <c r="A35" s="127">
        <v>1966</v>
      </c>
      <c r="B35" s="35">
        <v>-0.72899999999999998</v>
      </c>
      <c r="C35" s="35">
        <v>1.2030000000000001</v>
      </c>
      <c r="D35" s="35">
        <v>0.47399999999999998</v>
      </c>
      <c r="E35" s="109"/>
      <c r="F35" s="41">
        <v>33.789000000000001</v>
      </c>
      <c r="H35" s="16"/>
    </row>
    <row r="36" spans="1:8" ht="15" customHeight="1" x14ac:dyDescent="0.25">
      <c r="A36" s="127">
        <v>1967</v>
      </c>
      <c r="B36" s="35">
        <v>-0.19400000000000001</v>
      </c>
      <c r="C36" s="35">
        <v>1.2270000000000001</v>
      </c>
      <c r="D36" s="35">
        <v>1.0329999999999999</v>
      </c>
      <c r="E36" s="109"/>
      <c r="F36" s="41">
        <v>31.873000000000001</v>
      </c>
      <c r="H36" s="16"/>
    </row>
    <row r="37" spans="1:8" ht="15" customHeight="1" x14ac:dyDescent="0.25">
      <c r="A37" s="127">
        <v>1968</v>
      </c>
      <c r="B37" s="35">
        <v>1.5680000000000001</v>
      </c>
      <c r="C37" s="35">
        <v>1.236</v>
      </c>
      <c r="D37" s="35">
        <v>2.8029999999999999</v>
      </c>
      <c r="E37" s="109"/>
      <c r="F37" s="41">
        <v>32.259</v>
      </c>
      <c r="H37" s="16"/>
    </row>
    <row r="38" spans="1:8" ht="15" customHeight="1" x14ac:dyDescent="0.25">
      <c r="A38" s="127">
        <v>1969</v>
      </c>
      <c r="B38" s="35">
        <v>-1.6259999999999999</v>
      </c>
      <c r="C38" s="35">
        <v>1.2949999999999999</v>
      </c>
      <c r="D38" s="35">
        <v>-0.33100000000000002</v>
      </c>
      <c r="E38" s="109"/>
      <c r="F38" s="41">
        <v>28.37</v>
      </c>
      <c r="H38" s="16"/>
    </row>
    <row r="39" spans="1:8" ht="15" customHeight="1" x14ac:dyDescent="0.25">
      <c r="A39" s="127">
        <v>1970</v>
      </c>
      <c r="B39" s="35">
        <v>-1.1020000000000001</v>
      </c>
      <c r="C39" s="35">
        <v>1.3740000000000001</v>
      </c>
      <c r="D39" s="35">
        <v>0.27200000000000002</v>
      </c>
      <c r="E39" s="109"/>
      <c r="F39" s="41">
        <v>27.056999999999999</v>
      </c>
      <c r="H39" s="16"/>
    </row>
    <row r="40" spans="1:8" ht="15" customHeight="1" x14ac:dyDescent="0.25">
      <c r="A40" s="127">
        <v>1971</v>
      </c>
      <c r="B40" s="35">
        <v>0.73399999999999999</v>
      </c>
      <c r="C40" s="35">
        <v>1.329</v>
      </c>
      <c r="D40" s="35">
        <v>2.0630000000000002</v>
      </c>
      <c r="E40" s="109"/>
      <c r="F40" s="41">
        <v>27.14</v>
      </c>
      <c r="H40" s="16"/>
    </row>
    <row r="41" spans="1:8" ht="15" customHeight="1" x14ac:dyDescent="0.25">
      <c r="A41" s="127">
        <v>1972</v>
      </c>
      <c r="B41" s="35">
        <v>0.64900000000000002</v>
      </c>
      <c r="C41" s="35">
        <v>1.2729999999999999</v>
      </c>
      <c r="D41" s="35">
        <v>1.9219999999999999</v>
      </c>
      <c r="E41" s="109"/>
      <c r="F41" s="41">
        <v>26.506</v>
      </c>
      <c r="H41" s="16"/>
    </row>
    <row r="42" spans="1:8" ht="15" customHeight="1" x14ac:dyDescent="0.25">
      <c r="A42" s="127">
        <v>1973</v>
      </c>
      <c r="B42" s="35">
        <v>-0.18</v>
      </c>
      <c r="C42" s="35">
        <v>1.2829999999999999</v>
      </c>
      <c r="D42" s="35">
        <v>1.1020000000000001</v>
      </c>
      <c r="E42" s="109"/>
      <c r="F42" s="41">
        <v>25.202000000000002</v>
      </c>
      <c r="H42" s="16"/>
    </row>
    <row r="43" spans="1:8" ht="15" customHeight="1" x14ac:dyDescent="0.25">
      <c r="A43" s="127">
        <v>1974</v>
      </c>
      <c r="B43" s="35">
        <v>-1.0329999999999999</v>
      </c>
      <c r="C43" s="35">
        <v>1.446</v>
      </c>
      <c r="D43" s="35">
        <v>0.41399999999999998</v>
      </c>
      <c r="E43" s="109"/>
      <c r="F43" s="41">
        <v>23.178000000000001</v>
      </c>
      <c r="H43" s="16"/>
    </row>
    <row r="44" spans="1:8" ht="15" customHeight="1" x14ac:dyDescent="0.25">
      <c r="A44" s="127">
        <v>1975</v>
      </c>
      <c r="B44" s="35">
        <v>1.867</v>
      </c>
      <c r="C44" s="35">
        <v>1.446</v>
      </c>
      <c r="D44" s="35">
        <v>3.3130000000000002</v>
      </c>
      <c r="E44" s="109"/>
      <c r="F44" s="41">
        <v>24.562000000000001</v>
      </c>
      <c r="H44" s="16"/>
    </row>
    <row r="45" spans="1:8" ht="15" customHeight="1" x14ac:dyDescent="0.25">
      <c r="A45" s="127">
        <v>1976</v>
      </c>
      <c r="B45" s="35">
        <v>2.6320000000000001</v>
      </c>
      <c r="C45" s="35">
        <v>1.496</v>
      </c>
      <c r="D45" s="35">
        <v>4.1280000000000001</v>
      </c>
      <c r="E45" s="109"/>
      <c r="F45" s="41">
        <v>26.728999999999999</v>
      </c>
      <c r="H45" s="16"/>
    </row>
    <row r="46" spans="1:8" ht="15" customHeight="1" x14ac:dyDescent="0.25">
      <c r="A46" s="127">
        <v>1977</v>
      </c>
      <c r="B46" s="35">
        <v>1.1739999999999999</v>
      </c>
      <c r="C46" s="35">
        <v>1.4770000000000001</v>
      </c>
      <c r="D46" s="35">
        <v>2.6509999999999998</v>
      </c>
      <c r="E46" s="109"/>
      <c r="F46" s="41">
        <v>27.125</v>
      </c>
      <c r="H46" s="16"/>
    </row>
    <row r="47" spans="1:8" ht="15" customHeight="1" x14ac:dyDescent="0.25">
      <c r="A47" s="127">
        <v>1978</v>
      </c>
      <c r="B47" s="35">
        <v>1.044</v>
      </c>
      <c r="C47" s="35">
        <v>1.56</v>
      </c>
      <c r="D47" s="35">
        <v>2.6030000000000002</v>
      </c>
      <c r="E47" s="109"/>
      <c r="F47" s="41">
        <v>26.704999999999998</v>
      </c>
      <c r="H47" s="16"/>
    </row>
    <row r="48" spans="1:8" ht="15" customHeight="1" x14ac:dyDescent="0.25">
      <c r="A48" s="127">
        <v>1979</v>
      </c>
      <c r="B48" s="35">
        <v>-7.3999999999999996E-2</v>
      </c>
      <c r="C48" s="35">
        <v>1.6619999999999999</v>
      </c>
      <c r="D48" s="35">
        <v>1.587</v>
      </c>
      <c r="E48" s="109"/>
      <c r="F48" s="41">
        <v>24.957999999999998</v>
      </c>
      <c r="H48" s="16"/>
    </row>
    <row r="49" spans="1:8" ht="15" customHeight="1" x14ac:dyDescent="0.25">
      <c r="A49" s="127">
        <v>1980</v>
      </c>
      <c r="B49" s="35">
        <v>0.76300000000000001</v>
      </c>
      <c r="C49" s="35">
        <v>1.8819999999999999</v>
      </c>
      <c r="D49" s="35">
        <v>2.6440000000000001</v>
      </c>
      <c r="E49" s="109"/>
      <c r="F49" s="41">
        <v>25.5</v>
      </c>
      <c r="H49" s="16"/>
    </row>
    <row r="50" spans="1:8" ht="15" customHeight="1" x14ac:dyDescent="0.25">
      <c r="A50" s="127">
        <v>1981</v>
      </c>
      <c r="B50" s="35">
        <v>0.32600000000000001</v>
      </c>
      <c r="C50" s="35">
        <v>2.1949999999999998</v>
      </c>
      <c r="D50" s="35">
        <v>2.52</v>
      </c>
      <c r="E50" s="109"/>
      <c r="F50" s="41">
        <v>25.195</v>
      </c>
      <c r="H50" s="16"/>
    </row>
    <row r="51" spans="1:8" ht="15" customHeight="1" x14ac:dyDescent="0.25">
      <c r="A51" s="127">
        <v>1982</v>
      </c>
      <c r="B51" s="35">
        <v>1.296</v>
      </c>
      <c r="C51" s="35">
        <v>2.5659999999999998</v>
      </c>
      <c r="D51" s="35">
        <v>3.8620000000000001</v>
      </c>
      <c r="E51" s="109"/>
      <c r="F51" s="41">
        <v>27.905000000000001</v>
      </c>
      <c r="H51" s="16"/>
    </row>
    <row r="52" spans="1:8" ht="15" customHeight="1" x14ac:dyDescent="0.25">
      <c r="A52" s="127">
        <v>1983</v>
      </c>
      <c r="B52" s="35">
        <v>3.3370000000000002</v>
      </c>
      <c r="C52" s="35">
        <v>2.54</v>
      </c>
      <c r="D52" s="35">
        <v>5.8769999999999998</v>
      </c>
      <c r="E52" s="109"/>
      <c r="F52" s="41">
        <v>32.162999999999997</v>
      </c>
      <c r="H52" s="16"/>
    </row>
    <row r="53" spans="1:8" ht="15" customHeight="1" x14ac:dyDescent="0.25">
      <c r="A53" s="127">
        <v>1984</v>
      </c>
      <c r="B53" s="35">
        <v>1.881</v>
      </c>
      <c r="C53" s="35">
        <v>2.8130000000000002</v>
      </c>
      <c r="D53" s="35">
        <v>4.694</v>
      </c>
      <c r="E53" s="109"/>
      <c r="F53" s="41">
        <v>33.094999999999999</v>
      </c>
      <c r="H53" s="16"/>
    </row>
    <row r="54" spans="1:8" ht="15" customHeight="1" x14ac:dyDescent="0.25">
      <c r="A54" s="127">
        <v>1985</v>
      </c>
      <c r="B54" s="35">
        <v>1.9419999999999999</v>
      </c>
      <c r="C54" s="35">
        <v>3.036</v>
      </c>
      <c r="D54" s="35">
        <v>4.9779999999999998</v>
      </c>
      <c r="E54" s="109"/>
      <c r="F54" s="41">
        <v>35.338999999999999</v>
      </c>
      <c r="H54" s="16"/>
    </row>
    <row r="55" spans="1:8" ht="15" customHeight="1" x14ac:dyDescent="0.25">
      <c r="A55" s="127">
        <v>1986</v>
      </c>
      <c r="B55" s="35">
        <v>1.883</v>
      </c>
      <c r="C55" s="35">
        <v>3.0049999999999999</v>
      </c>
      <c r="D55" s="35">
        <v>4.8879999999999999</v>
      </c>
      <c r="E55" s="109"/>
      <c r="F55" s="41">
        <v>38.456000000000003</v>
      </c>
      <c r="H55" s="16"/>
    </row>
    <row r="56" spans="1:8" ht="15" customHeight="1" x14ac:dyDescent="0.25">
      <c r="A56" s="127">
        <v>1987</v>
      </c>
      <c r="B56" s="35">
        <v>0.23300000000000001</v>
      </c>
      <c r="C56" s="35">
        <v>2.907</v>
      </c>
      <c r="D56" s="35">
        <v>3.141</v>
      </c>
      <c r="E56" s="109"/>
      <c r="F56" s="41">
        <v>39.637</v>
      </c>
      <c r="H56" s="16"/>
    </row>
    <row r="57" spans="1:8" ht="15" customHeight="1" x14ac:dyDescent="0.25">
      <c r="A57" s="127">
        <v>1988</v>
      </c>
      <c r="B57" s="35">
        <v>6.6000000000000003E-2</v>
      </c>
      <c r="C57" s="35">
        <v>2.9540000000000002</v>
      </c>
      <c r="D57" s="35">
        <v>3.02</v>
      </c>
      <c r="E57" s="109"/>
      <c r="F57" s="41">
        <v>39.926000000000002</v>
      </c>
      <c r="H57" s="16"/>
    </row>
    <row r="58" spans="1:8" ht="15" customHeight="1" x14ac:dyDescent="0.25">
      <c r="A58" s="127">
        <v>1989</v>
      </c>
      <c r="B58" s="35">
        <v>-0.29399999999999998</v>
      </c>
      <c r="C58" s="35">
        <v>3.0419999999999998</v>
      </c>
      <c r="D58" s="35">
        <v>2.7480000000000002</v>
      </c>
      <c r="E58" s="109"/>
      <c r="F58" s="41">
        <v>39.439</v>
      </c>
      <c r="H58" s="16"/>
    </row>
    <row r="59" spans="1:8" ht="15" customHeight="1" x14ac:dyDescent="0.25">
      <c r="A59" s="127">
        <v>1990</v>
      </c>
      <c r="B59" s="35">
        <v>0.622</v>
      </c>
      <c r="C59" s="35">
        <v>3.125</v>
      </c>
      <c r="D59" s="35">
        <v>3.7469999999999999</v>
      </c>
      <c r="E59" s="109"/>
      <c r="F59" s="41">
        <v>40.883000000000003</v>
      </c>
      <c r="H59" s="16"/>
    </row>
    <row r="60" spans="1:8" ht="15" customHeight="1" x14ac:dyDescent="0.25">
      <c r="A60" s="127">
        <v>1991</v>
      </c>
      <c r="B60" s="35">
        <v>1.2270000000000001</v>
      </c>
      <c r="C60" s="35">
        <v>3.1909999999999998</v>
      </c>
      <c r="D60" s="35">
        <v>4.4189999999999996</v>
      </c>
      <c r="E60" s="109"/>
      <c r="F60" s="41">
        <v>44.131</v>
      </c>
      <c r="H60" s="16"/>
    </row>
    <row r="61" spans="1:8" ht="15" customHeight="1" x14ac:dyDescent="0.25">
      <c r="A61" s="127">
        <v>1992</v>
      </c>
      <c r="B61" s="35">
        <v>1.4179999999999999</v>
      </c>
      <c r="C61" s="35">
        <v>3.1070000000000002</v>
      </c>
      <c r="D61" s="35">
        <v>4.5250000000000004</v>
      </c>
      <c r="E61" s="109"/>
      <c r="F61" s="41">
        <v>46.752000000000002</v>
      </c>
      <c r="H61" s="16"/>
    </row>
    <row r="62" spans="1:8" ht="15" customHeight="1" x14ac:dyDescent="0.25">
      <c r="A62" s="127">
        <v>1993</v>
      </c>
      <c r="B62" s="35">
        <v>0.83199999999999996</v>
      </c>
      <c r="C62" s="35">
        <v>2.9329999999999998</v>
      </c>
      <c r="D62" s="35">
        <v>3.7639999999999998</v>
      </c>
      <c r="E62" s="109"/>
      <c r="F62" s="41">
        <v>47.945</v>
      </c>
      <c r="H62" s="16"/>
    </row>
    <row r="63" spans="1:8" ht="15" customHeight="1" x14ac:dyDescent="0.25">
      <c r="A63" s="127">
        <v>1994</v>
      </c>
      <c r="B63" s="35">
        <v>4.0000000000000001E-3</v>
      </c>
      <c r="C63" s="35">
        <v>2.8279999999999998</v>
      </c>
      <c r="D63" s="35">
        <v>2.831</v>
      </c>
      <c r="E63" s="109"/>
      <c r="F63" s="41">
        <v>47.835000000000001</v>
      </c>
      <c r="H63" s="16"/>
    </row>
    <row r="64" spans="1:8" ht="15" customHeight="1" x14ac:dyDescent="0.25">
      <c r="A64" s="127">
        <v>1995</v>
      </c>
      <c r="B64" s="35">
        <v>-0.90200000000000002</v>
      </c>
      <c r="C64" s="35">
        <v>3.07</v>
      </c>
      <c r="D64" s="35">
        <v>2.169</v>
      </c>
      <c r="E64" s="109"/>
      <c r="F64" s="41">
        <v>47.673999999999999</v>
      </c>
      <c r="H64" s="16"/>
    </row>
    <row r="65" spans="1:8" ht="15" customHeight="1" x14ac:dyDescent="0.25">
      <c r="A65" s="127">
        <v>1996</v>
      </c>
      <c r="B65" s="35">
        <v>-1.68</v>
      </c>
      <c r="C65" s="35">
        <v>3.032</v>
      </c>
      <c r="D65" s="35">
        <v>1.351</v>
      </c>
      <c r="E65" s="109"/>
      <c r="F65" s="41">
        <v>46.962000000000003</v>
      </c>
      <c r="H65" s="16"/>
    </row>
    <row r="66" spans="1:8" ht="15" customHeight="1" x14ac:dyDescent="0.25">
      <c r="A66" s="127">
        <v>1997</v>
      </c>
      <c r="B66" s="35">
        <v>-2.6280000000000001</v>
      </c>
      <c r="C66" s="35">
        <v>2.887</v>
      </c>
      <c r="D66" s="35">
        <v>0.25900000000000001</v>
      </c>
      <c r="E66" s="109"/>
      <c r="F66" s="41">
        <v>44.637999999999998</v>
      </c>
      <c r="H66" s="16"/>
    </row>
    <row r="67" spans="1:8" ht="15" customHeight="1" x14ac:dyDescent="0.25">
      <c r="A67" s="127">
        <v>1998</v>
      </c>
      <c r="B67" s="35">
        <v>-3.4750000000000001</v>
      </c>
      <c r="C67" s="35">
        <v>2.7</v>
      </c>
      <c r="D67" s="35">
        <v>-0.77600000000000002</v>
      </c>
      <c r="E67" s="109"/>
      <c r="F67" s="41">
        <v>41.665999999999997</v>
      </c>
      <c r="H67" s="16"/>
    </row>
    <row r="68" spans="1:8" ht="15" customHeight="1" x14ac:dyDescent="0.25">
      <c r="A68" s="127">
        <v>1999</v>
      </c>
      <c r="B68" s="35">
        <v>-3.7490000000000001</v>
      </c>
      <c r="C68" s="35">
        <v>2.4239999999999999</v>
      </c>
      <c r="D68" s="35">
        <v>-1.325</v>
      </c>
      <c r="E68" s="109"/>
      <c r="F68" s="41">
        <v>38.317999999999998</v>
      </c>
      <c r="H68" s="16"/>
    </row>
    <row r="69" spans="1:8" ht="15" customHeight="1" x14ac:dyDescent="0.25">
      <c r="A69" s="127">
        <v>2000</v>
      </c>
      <c r="B69" s="35">
        <v>-4.5389999999999997</v>
      </c>
      <c r="C69" s="35">
        <v>2.2040000000000002</v>
      </c>
      <c r="D69" s="35">
        <v>-2.335</v>
      </c>
      <c r="E69" s="109"/>
      <c r="F69" s="41">
        <v>33.703000000000003</v>
      </c>
      <c r="H69" s="16"/>
    </row>
    <row r="70" spans="1:8" ht="15" customHeight="1" x14ac:dyDescent="0.25">
      <c r="A70" s="127">
        <v>2001</v>
      </c>
      <c r="B70" s="35">
        <v>-3.177</v>
      </c>
      <c r="C70" s="35">
        <v>1.9590000000000001</v>
      </c>
      <c r="D70" s="35">
        <v>-1.218</v>
      </c>
      <c r="E70" s="109"/>
      <c r="F70" s="41">
        <v>31.538</v>
      </c>
      <c r="H70" s="16"/>
    </row>
    <row r="71" spans="1:8" ht="15" customHeight="1" x14ac:dyDescent="0.25">
      <c r="A71" s="127">
        <v>2002</v>
      </c>
      <c r="B71" s="35">
        <v>-0.122</v>
      </c>
      <c r="C71" s="35">
        <v>1.579</v>
      </c>
      <c r="D71" s="35">
        <v>1.4570000000000001</v>
      </c>
      <c r="E71" s="109"/>
      <c r="F71" s="41">
        <v>32.694000000000003</v>
      </c>
      <c r="H71" s="16"/>
    </row>
    <row r="72" spans="1:8" ht="15" customHeight="1" x14ac:dyDescent="0.25">
      <c r="A72" s="127">
        <v>2003</v>
      </c>
      <c r="B72" s="35">
        <v>1.9910000000000001</v>
      </c>
      <c r="C72" s="35">
        <v>1.357</v>
      </c>
      <c r="D72" s="35">
        <v>3.3479999999999999</v>
      </c>
      <c r="E72" s="109"/>
      <c r="F72" s="41">
        <v>34.697000000000003</v>
      </c>
      <c r="H72" s="16"/>
    </row>
    <row r="73" spans="1:8" ht="15" customHeight="1" x14ac:dyDescent="0.25">
      <c r="A73" s="127">
        <v>2004</v>
      </c>
      <c r="B73" s="35">
        <v>2.0990000000000002</v>
      </c>
      <c r="C73" s="35">
        <v>1.3320000000000001</v>
      </c>
      <c r="D73" s="35">
        <v>3.431</v>
      </c>
      <c r="E73" s="109"/>
      <c r="F73" s="41">
        <v>35.712000000000003</v>
      </c>
      <c r="H73" s="16"/>
    </row>
    <row r="74" spans="1:8" ht="15" customHeight="1" x14ac:dyDescent="0.25">
      <c r="A74" s="127">
        <v>2005</v>
      </c>
      <c r="B74" s="35">
        <v>1.046</v>
      </c>
      <c r="C74" s="35">
        <v>1.4330000000000001</v>
      </c>
      <c r="D74" s="35">
        <v>2.4790000000000001</v>
      </c>
      <c r="E74" s="109"/>
      <c r="F74" s="41">
        <v>35.765000000000001</v>
      </c>
      <c r="H74" s="16"/>
    </row>
    <row r="75" spans="1:8" ht="15" customHeight="1" x14ac:dyDescent="0.25">
      <c r="A75" s="127">
        <v>2006</v>
      </c>
      <c r="B75" s="35">
        <v>0.158</v>
      </c>
      <c r="C75" s="35">
        <v>1.6619999999999999</v>
      </c>
      <c r="D75" s="35">
        <v>1.82</v>
      </c>
      <c r="E75" s="109"/>
      <c r="F75" s="41">
        <v>35.411000000000001</v>
      </c>
      <c r="H75" s="16"/>
    </row>
    <row r="76" spans="1:8" ht="15" customHeight="1" x14ac:dyDescent="0.25">
      <c r="A76" s="127">
        <v>2007</v>
      </c>
      <c r="B76" s="35">
        <v>-0.53400000000000003</v>
      </c>
      <c r="C76" s="35">
        <v>1.657</v>
      </c>
      <c r="D76" s="35">
        <v>1.123</v>
      </c>
      <c r="E76" s="109"/>
      <c r="F76" s="41">
        <v>35.197000000000003</v>
      </c>
      <c r="H76" s="16"/>
    </row>
    <row r="77" spans="1:8" ht="15" customHeight="1" x14ac:dyDescent="0.25">
      <c r="A77" s="127">
        <v>2008</v>
      </c>
      <c r="B77" s="35">
        <v>1.391</v>
      </c>
      <c r="C77" s="35">
        <v>1.708</v>
      </c>
      <c r="D77" s="35">
        <v>3.0990000000000002</v>
      </c>
      <c r="E77" s="109"/>
      <c r="F77" s="41">
        <v>39.219000000000001</v>
      </c>
      <c r="H77" s="16"/>
    </row>
    <row r="78" spans="1:8" ht="15" customHeight="1" x14ac:dyDescent="0.25">
      <c r="A78" s="127">
        <v>2009</v>
      </c>
      <c r="B78" s="35">
        <v>8.4730000000000008</v>
      </c>
      <c r="C78" s="35">
        <v>1.292</v>
      </c>
      <c r="D78" s="35">
        <v>9.7650000000000006</v>
      </c>
      <c r="E78" s="109"/>
      <c r="F78" s="41">
        <v>52.15</v>
      </c>
      <c r="H78" s="16"/>
    </row>
    <row r="79" spans="1:8" ht="15" customHeight="1" x14ac:dyDescent="0.25">
      <c r="A79" s="127">
        <v>2010</v>
      </c>
      <c r="B79" s="35">
        <v>7.3780000000000001</v>
      </c>
      <c r="C79" s="35">
        <v>1.3180000000000001</v>
      </c>
      <c r="D79" s="35">
        <v>8.6959999999999997</v>
      </c>
      <c r="E79" s="109"/>
      <c r="F79" s="41">
        <v>60.593000000000004</v>
      </c>
      <c r="H79" s="16"/>
    </row>
    <row r="80" spans="1:8" ht="15" customHeight="1" x14ac:dyDescent="0.25">
      <c r="A80" s="127">
        <v>2011</v>
      </c>
      <c r="B80" s="35">
        <v>6.9160000000000004</v>
      </c>
      <c r="C80" s="35">
        <v>1.4870000000000001</v>
      </c>
      <c r="D80" s="35">
        <v>8.4030000000000005</v>
      </c>
      <c r="E80" s="109"/>
      <c r="F80" s="41">
        <v>65.484999999999999</v>
      </c>
      <c r="H80" s="16"/>
    </row>
    <row r="81" spans="1:8" ht="15" customHeight="1" x14ac:dyDescent="0.25">
      <c r="A81" s="127">
        <v>2012</v>
      </c>
      <c r="B81" s="35">
        <v>5.3150000000000004</v>
      </c>
      <c r="C81" s="35">
        <v>1.3680000000000001</v>
      </c>
      <c r="D81" s="35">
        <v>6.6829999999999998</v>
      </c>
      <c r="E81" s="109"/>
      <c r="F81" s="41">
        <v>70.028000000000006</v>
      </c>
      <c r="H81" s="16"/>
    </row>
    <row r="82" spans="1:8" ht="15" customHeight="1" x14ac:dyDescent="0.25">
      <c r="A82" s="127">
        <v>2013</v>
      </c>
      <c r="B82" s="35">
        <v>2.7498999999999998</v>
      </c>
      <c r="C82" s="35">
        <v>1.3240000000000001</v>
      </c>
      <c r="D82" s="35">
        <v>4.0730000000000004</v>
      </c>
      <c r="E82" s="109"/>
      <c r="F82" s="41">
        <v>71.805000000000007</v>
      </c>
      <c r="H82" s="16"/>
    </row>
    <row r="83" spans="1:8" ht="15" customHeight="1" x14ac:dyDescent="0.25">
      <c r="A83" s="127">
        <v>2014</v>
      </c>
      <c r="B83" s="35">
        <v>1.468</v>
      </c>
      <c r="C83" s="35">
        <v>1.3140000000000001</v>
      </c>
      <c r="D83" s="35">
        <v>2.782</v>
      </c>
      <c r="E83" s="109"/>
      <c r="F83" s="41">
        <v>73.328999999999994</v>
      </c>
      <c r="H83" s="16"/>
    </row>
    <row r="84" spans="1:8" ht="15" customHeight="1" x14ac:dyDescent="0.25">
      <c r="A84" s="127">
        <v>2015</v>
      </c>
      <c r="B84" s="35">
        <v>1.204</v>
      </c>
      <c r="C84" s="35">
        <v>1.2290000000000001</v>
      </c>
      <c r="D84" s="35">
        <v>2.4329999999999998</v>
      </c>
      <c r="E84" s="109"/>
      <c r="F84" s="41">
        <v>72.212000000000003</v>
      </c>
      <c r="H84" s="16"/>
    </row>
    <row r="85" spans="1:8" ht="15" customHeight="1" x14ac:dyDescent="0.25">
      <c r="A85" s="127">
        <v>2016</v>
      </c>
      <c r="B85" s="35">
        <v>1.849</v>
      </c>
      <c r="C85" s="35">
        <v>1.288</v>
      </c>
      <c r="D85" s="35">
        <v>3.1360000000000001</v>
      </c>
      <c r="E85" s="35"/>
      <c r="F85" s="41">
        <v>76.001000000000005</v>
      </c>
      <c r="H85" s="16"/>
    </row>
    <row r="86" spans="1:8" ht="15" customHeight="1" x14ac:dyDescent="0.25">
      <c r="A86" s="127">
        <v>2017</v>
      </c>
      <c r="B86" s="35">
        <v>2.0790000000000002</v>
      </c>
      <c r="C86" s="35">
        <v>1.355</v>
      </c>
      <c r="D86" s="35">
        <v>3.4350000000000001</v>
      </c>
      <c r="E86" s="35"/>
      <c r="F86" s="41">
        <v>75.691999999999993</v>
      </c>
      <c r="H86" s="16"/>
    </row>
    <row r="87" spans="1:8" ht="15" customHeight="1" x14ac:dyDescent="0.25">
      <c r="A87" s="127">
        <v>2018</v>
      </c>
      <c r="B87" s="35">
        <v>2.222</v>
      </c>
      <c r="C87" s="35">
        <v>1.59</v>
      </c>
      <c r="D87" s="35">
        <v>3.8119999999999998</v>
      </c>
      <c r="E87" s="35"/>
      <c r="F87" s="41">
        <v>77.066999999999993</v>
      </c>
      <c r="H87" s="16"/>
    </row>
    <row r="88" spans="1:8" ht="15" customHeight="1" x14ac:dyDescent="0.25">
      <c r="A88" s="127">
        <v>2019</v>
      </c>
      <c r="B88" s="35">
        <v>2.8580000000000001</v>
      </c>
      <c r="C88" s="35">
        <v>1.762</v>
      </c>
      <c r="D88" s="35">
        <v>4.6210000000000004</v>
      </c>
      <c r="E88" s="35"/>
      <c r="F88" s="41">
        <v>78.927999999999997</v>
      </c>
      <c r="H88" s="16"/>
    </row>
    <row r="89" spans="1:8" ht="15" customHeight="1" x14ac:dyDescent="0.25">
      <c r="A89" s="127">
        <v>2020</v>
      </c>
      <c r="B89" s="35">
        <v>13.061999999999999</v>
      </c>
      <c r="C89" s="35">
        <v>1.619</v>
      </c>
      <c r="D89" s="35">
        <v>14.680999999999999</v>
      </c>
      <c r="E89" s="35"/>
      <c r="F89" s="41">
        <v>98.5</v>
      </c>
      <c r="H89" s="16"/>
    </row>
    <row r="90" spans="1:8" ht="15" customHeight="1" x14ac:dyDescent="0.25">
      <c r="A90" s="127">
        <v>2021</v>
      </c>
      <c r="B90" s="35">
        <v>10.515000000000001</v>
      </c>
      <c r="C90" s="35">
        <v>1.5289999999999999</v>
      </c>
      <c r="D90" s="35">
        <v>12.044</v>
      </c>
      <c r="E90" s="35"/>
      <c r="F90" s="41">
        <v>96.701999999999998</v>
      </c>
      <c r="H90" s="16"/>
    </row>
    <row r="91" spans="1:8" ht="15" customHeight="1" x14ac:dyDescent="0.25">
      <c r="A91" s="127">
        <v>2022</v>
      </c>
      <c r="B91" s="35">
        <v>3.5209999999999999</v>
      </c>
      <c r="C91" s="35">
        <v>1.861</v>
      </c>
      <c r="D91" s="35">
        <v>5.3819999999999997</v>
      </c>
      <c r="E91" s="35"/>
      <c r="F91" s="41">
        <v>94.867999999999995</v>
      </c>
      <c r="H91" s="16"/>
    </row>
    <row r="92" spans="1:8" ht="15" customHeight="1" x14ac:dyDescent="0.25">
      <c r="A92" s="127">
        <v>2023</v>
      </c>
      <c r="B92" s="35">
        <v>3.7789999999999999</v>
      </c>
      <c r="C92" s="35">
        <v>2.403</v>
      </c>
      <c r="D92" s="35">
        <v>6.1820000000000004</v>
      </c>
      <c r="E92" s="35"/>
      <c r="F92" s="41">
        <v>95.757999999999996</v>
      </c>
      <c r="H92" s="16"/>
    </row>
    <row r="93" spans="1:8" ht="15" customHeight="1" x14ac:dyDescent="0.25">
      <c r="A93" s="127">
        <v>2024</v>
      </c>
      <c r="B93" s="35">
        <v>3.286</v>
      </c>
      <c r="C93" s="134">
        <v>3.04</v>
      </c>
      <c r="D93" s="43">
        <v>6.3250000000000002</v>
      </c>
      <c r="E93" s="43"/>
      <c r="F93" s="183">
        <v>97.400999999999996</v>
      </c>
      <c r="H93" s="16"/>
    </row>
    <row r="94" spans="1:8" ht="15" customHeight="1" x14ac:dyDescent="0.25">
      <c r="A94" s="79">
        <v>2025</v>
      </c>
      <c r="B94" s="130">
        <v>2.6560000000000001</v>
      </c>
      <c r="C94" s="108">
        <v>3.1949999999999998</v>
      </c>
      <c r="D94" s="7">
        <v>5.8470000000000004</v>
      </c>
      <c r="E94" s="7"/>
      <c r="F94" s="184">
        <v>99.375</v>
      </c>
      <c r="H94" s="16"/>
    </row>
    <row r="95" spans="1:8" ht="15" customHeight="1" x14ac:dyDescent="0.25">
      <c r="A95" s="127">
        <v>2026</v>
      </c>
      <c r="B95" s="43">
        <v>2.5510000000000002</v>
      </c>
      <c r="C95" s="43">
        <v>3.2570000000000001</v>
      </c>
      <c r="D95" s="43">
        <v>5.8070000000000004</v>
      </c>
      <c r="E95" s="43"/>
      <c r="F95" s="2">
        <v>100.605</v>
      </c>
      <c r="G95" s="16" t="s">
        <v>61</v>
      </c>
      <c r="H95" s="16"/>
    </row>
    <row r="96" spans="1:8" ht="15" customHeight="1" x14ac:dyDescent="0.25">
      <c r="A96" s="127">
        <v>2027</v>
      </c>
      <c r="B96" s="43">
        <v>2.34</v>
      </c>
      <c r="C96" s="43">
        <v>3.3250000000000002</v>
      </c>
      <c r="D96" s="43">
        <v>5.665</v>
      </c>
      <c r="E96" s="43"/>
      <c r="F96" s="2">
        <v>102.069</v>
      </c>
      <c r="H96" s="16"/>
    </row>
    <row r="97" spans="1:8" ht="15" customHeight="1" x14ac:dyDescent="0.25">
      <c r="A97" s="127">
        <v>2028</v>
      </c>
      <c r="B97" s="43">
        <v>2.13</v>
      </c>
      <c r="C97" s="43">
        <v>3.5129999999999999</v>
      </c>
      <c r="D97" s="43">
        <v>5.6429999999999998</v>
      </c>
      <c r="E97" s="43"/>
      <c r="F97" s="2">
        <v>104.116</v>
      </c>
      <c r="H97" s="16"/>
    </row>
    <row r="98" spans="1:8" ht="15" customHeight="1" x14ac:dyDescent="0.25">
      <c r="A98" s="127">
        <v>2029</v>
      </c>
      <c r="B98" s="43">
        <v>2.274</v>
      </c>
      <c r="C98" s="43">
        <v>3.6779999999999999</v>
      </c>
      <c r="D98" s="43">
        <v>5.952</v>
      </c>
      <c r="E98" s="43"/>
      <c r="F98" s="2">
        <v>105.81100000000001</v>
      </c>
      <c r="H98" s="16"/>
    </row>
    <row r="99" spans="1:8" ht="15" customHeight="1" x14ac:dyDescent="0.25">
      <c r="A99" s="127">
        <v>2030</v>
      </c>
      <c r="B99" s="43">
        <v>2.056</v>
      </c>
      <c r="C99" s="43">
        <v>3.8290000000000002</v>
      </c>
      <c r="D99" s="43">
        <v>5.8860000000000001</v>
      </c>
      <c r="E99" s="43"/>
      <c r="F99" s="2">
        <v>107.726</v>
      </c>
      <c r="H99" s="16"/>
    </row>
    <row r="100" spans="1:8" ht="15" customHeight="1" x14ac:dyDescent="0.25">
      <c r="A100" s="127">
        <v>2031</v>
      </c>
      <c r="B100" s="43">
        <v>1.9</v>
      </c>
      <c r="C100" s="43">
        <v>3.9889999999999999</v>
      </c>
      <c r="D100" s="43">
        <v>5.8890000000000002</v>
      </c>
      <c r="E100" s="43"/>
      <c r="F100" s="2">
        <v>109.57299999999999</v>
      </c>
      <c r="H100" s="16"/>
    </row>
    <row r="101" spans="1:8" ht="15" customHeight="1" x14ac:dyDescent="0.25">
      <c r="A101" s="127">
        <v>2032</v>
      </c>
      <c r="B101" s="43">
        <v>1.909</v>
      </c>
      <c r="C101" s="43">
        <v>4.1470000000000002</v>
      </c>
      <c r="D101" s="43">
        <v>6.0570000000000004</v>
      </c>
      <c r="E101" s="43"/>
      <c r="F101" s="2">
        <v>111.535</v>
      </c>
      <c r="H101" s="16"/>
    </row>
    <row r="102" spans="1:8" ht="15" customHeight="1" x14ac:dyDescent="0.25">
      <c r="A102" s="127">
        <v>2033</v>
      </c>
      <c r="B102" s="43">
        <v>1.9870000000000001</v>
      </c>
      <c r="C102" s="43">
        <v>4.2690000000000001</v>
      </c>
      <c r="D102" s="43">
        <v>6.2560000000000002</v>
      </c>
      <c r="E102" s="43"/>
      <c r="F102" s="2">
        <v>113.992</v>
      </c>
      <c r="H102" s="16"/>
    </row>
    <row r="103" spans="1:8" ht="15" customHeight="1" x14ac:dyDescent="0.25">
      <c r="A103" s="127">
        <v>2034</v>
      </c>
      <c r="B103" s="43">
        <v>2.081</v>
      </c>
      <c r="C103" s="43">
        <v>4.3890000000000002</v>
      </c>
      <c r="D103" s="43">
        <v>6.47</v>
      </c>
      <c r="E103" s="43"/>
      <c r="F103" s="2">
        <v>116.18600000000001</v>
      </c>
      <c r="H103" s="16"/>
    </row>
    <row r="104" spans="1:8" ht="15" customHeight="1" x14ac:dyDescent="0.25">
      <c r="A104" s="127">
        <v>2035</v>
      </c>
      <c r="B104" s="43">
        <v>2.0840000000000001</v>
      </c>
      <c r="C104" s="43">
        <v>4.4859999999999998</v>
      </c>
      <c r="D104" s="43">
        <v>6.57</v>
      </c>
      <c r="E104" s="43"/>
      <c r="F104" s="2">
        <v>117.977</v>
      </c>
      <c r="H104" s="16"/>
    </row>
    <row r="105" spans="1:8" ht="15" customHeight="1" x14ac:dyDescent="0.25">
      <c r="A105" s="127">
        <v>2036</v>
      </c>
      <c r="B105" s="43">
        <v>2.0790000000000002</v>
      </c>
      <c r="C105" s="43">
        <v>4.5910000000000002</v>
      </c>
      <c r="D105" s="43">
        <v>6.6689999999999996</v>
      </c>
      <c r="E105" s="43"/>
      <c r="F105" s="2">
        <v>120.209</v>
      </c>
      <c r="H105" s="16"/>
    </row>
    <row r="106" spans="1:8" ht="15" customHeight="1" x14ac:dyDescent="0.25">
      <c r="A106" s="127">
        <v>2037</v>
      </c>
      <c r="B106" s="43">
        <v>2.0219999999999998</v>
      </c>
      <c r="C106" s="43">
        <v>4.6870000000000003</v>
      </c>
      <c r="D106" s="43">
        <v>6.7089999999999996</v>
      </c>
      <c r="E106" s="43"/>
      <c r="F106" s="2">
        <v>122.449</v>
      </c>
      <c r="H106" s="16"/>
    </row>
    <row r="107" spans="1:8" ht="15" customHeight="1" x14ac:dyDescent="0.25">
      <c r="A107" s="127">
        <v>2038</v>
      </c>
      <c r="B107" s="43">
        <v>2.0230000000000001</v>
      </c>
      <c r="C107" s="43">
        <v>4.7880000000000003</v>
      </c>
      <c r="D107" s="43">
        <v>6.81</v>
      </c>
      <c r="E107" s="43"/>
      <c r="F107" s="2">
        <v>124.742</v>
      </c>
      <c r="H107" s="16"/>
    </row>
    <row r="108" spans="1:8" ht="15" customHeight="1" x14ac:dyDescent="0.25">
      <c r="A108" s="127">
        <v>2039</v>
      </c>
      <c r="B108" s="43">
        <v>1.996</v>
      </c>
      <c r="C108" s="43">
        <v>4.8869999999999996</v>
      </c>
      <c r="D108" s="43">
        <v>6.883</v>
      </c>
      <c r="E108" s="43"/>
      <c r="F108" s="2">
        <v>127.066</v>
      </c>
      <c r="H108" s="16"/>
    </row>
    <row r="109" spans="1:8" ht="15" customHeight="1" x14ac:dyDescent="0.25">
      <c r="A109" s="127">
        <v>2040</v>
      </c>
      <c r="B109" s="43">
        <v>1.952</v>
      </c>
      <c r="C109" s="43">
        <v>4.9889999999999999</v>
      </c>
      <c r="D109" s="43">
        <v>6.9409999999999998</v>
      </c>
      <c r="E109" s="43"/>
      <c r="F109" s="2">
        <v>129.38300000000001</v>
      </c>
      <c r="H109" s="16"/>
    </row>
    <row r="110" spans="1:8" ht="15" customHeight="1" x14ac:dyDescent="0.25">
      <c r="A110" s="127">
        <v>2041</v>
      </c>
      <c r="B110" s="43">
        <v>1.944</v>
      </c>
      <c r="C110" s="43">
        <v>5.0970000000000004</v>
      </c>
      <c r="D110" s="43">
        <v>7.0419999999999998</v>
      </c>
      <c r="E110" s="43"/>
      <c r="F110" s="2">
        <v>131.71</v>
      </c>
      <c r="H110" s="16"/>
    </row>
    <row r="111" spans="1:8" ht="15" customHeight="1" x14ac:dyDescent="0.25">
      <c r="A111" s="127">
        <v>2042</v>
      </c>
      <c r="B111" s="43">
        <v>1.9910000000000001</v>
      </c>
      <c r="C111" s="43">
        <v>5.2169999999999996</v>
      </c>
      <c r="D111" s="43">
        <v>7.2080000000000002</v>
      </c>
      <c r="E111" s="43"/>
      <c r="F111" s="2">
        <v>134.155</v>
      </c>
      <c r="H111" s="16"/>
    </row>
    <row r="112" spans="1:8" ht="15" customHeight="1" x14ac:dyDescent="0.25">
      <c r="A112" s="127">
        <v>2043</v>
      </c>
      <c r="B112" s="43">
        <v>1.984</v>
      </c>
      <c r="C112" s="43">
        <v>5.3339999999999996</v>
      </c>
      <c r="D112" s="43">
        <v>7.3179999999999996</v>
      </c>
      <c r="E112" s="43"/>
      <c r="F112" s="2">
        <v>136.631</v>
      </c>
      <c r="H112" s="16"/>
    </row>
    <row r="113" spans="1:8" ht="15" customHeight="1" x14ac:dyDescent="0.25">
      <c r="A113" s="127">
        <v>2044</v>
      </c>
      <c r="B113" s="43">
        <v>2.0089999999999999</v>
      </c>
      <c r="C113" s="43">
        <v>5.4429999999999996</v>
      </c>
      <c r="D113" s="43">
        <v>7.452</v>
      </c>
      <c r="E113" s="43"/>
      <c r="F113" s="2">
        <v>139.16800000000001</v>
      </c>
      <c r="H113" s="16"/>
    </row>
    <row r="114" spans="1:8" ht="15" customHeight="1" x14ac:dyDescent="0.25">
      <c r="A114" s="127">
        <v>2045</v>
      </c>
      <c r="B114" s="43">
        <v>2.0209999999999999</v>
      </c>
      <c r="C114" s="43">
        <v>5.5540000000000003</v>
      </c>
      <c r="D114" s="43">
        <v>7.5750000000000002</v>
      </c>
      <c r="E114" s="43"/>
      <c r="F114" s="2">
        <v>141.78399999999999</v>
      </c>
      <c r="H114" s="16"/>
    </row>
    <row r="115" spans="1:8" ht="15" customHeight="1" x14ac:dyDescent="0.25">
      <c r="A115" s="127">
        <v>2046</v>
      </c>
      <c r="B115" s="43">
        <v>2.0249999999999999</v>
      </c>
      <c r="C115" s="43">
        <v>5.6760000000000002</v>
      </c>
      <c r="D115" s="43">
        <v>7.7009999999999996</v>
      </c>
      <c r="E115" s="43"/>
      <c r="F115" s="2">
        <v>144.49700000000001</v>
      </c>
      <c r="H115" s="16"/>
    </row>
    <row r="116" spans="1:8" ht="15" customHeight="1" x14ac:dyDescent="0.25">
      <c r="A116" s="127">
        <v>2047</v>
      </c>
      <c r="B116" s="43">
        <v>2.0470000000000002</v>
      </c>
      <c r="C116" s="43">
        <v>5.7919999999999998</v>
      </c>
      <c r="D116" s="43">
        <v>7.8390000000000004</v>
      </c>
      <c r="E116" s="43"/>
      <c r="F116" s="2">
        <v>147.27699999999999</v>
      </c>
      <c r="H116" s="16"/>
    </row>
    <row r="117" spans="1:8" ht="15" customHeight="1" x14ac:dyDescent="0.25">
      <c r="A117" s="127">
        <v>2048</v>
      </c>
      <c r="B117" s="43">
        <v>2.0579999999999998</v>
      </c>
      <c r="C117" s="43">
        <v>5.907</v>
      </c>
      <c r="D117" s="43">
        <v>7.9649999999999999</v>
      </c>
      <c r="E117" s="43"/>
      <c r="F117" s="2">
        <v>150.113</v>
      </c>
      <c r="H117" s="16"/>
    </row>
    <row r="118" spans="1:8" ht="15" customHeight="1" x14ac:dyDescent="0.25">
      <c r="A118" s="127">
        <v>2049</v>
      </c>
      <c r="B118" s="43">
        <v>2.0910000000000002</v>
      </c>
      <c r="C118" s="43">
        <v>6.0220000000000002</v>
      </c>
      <c r="D118" s="43">
        <v>8.1129999999999995</v>
      </c>
      <c r="E118" s="43"/>
      <c r="F118" s="2">
        <v>153.018</v>
      </c>
      <c r="H118" s="16"/>
    </row>
    <row r="119" spans="1:8" ht="15" customHeight="1" x14ac:dyDescent="0.25">
      <c r="A119" s="127">
        <v>2050</v>
      </c>
      <c r="B119" s="43">
        <v>2.0950000000000002</v>
      </c>
      <c r="C119" s="43">
        <v>6.1429999999999998</v>
      </c>
      <c r="D119" s="43">
        <v>8.2379999999999995</v>
      </c>
      <c r="E119" s="43"/>
      <c r="F119" s="2">
        <v>155.982</v>
      </c>
      <c r="H119" s="16"/>
    </row>
    <row r="120" spans="1:8" ht="15" customHeight="1" x14ac:dyDescent="0.25">
      <c r="A120" s="127">
        <v>2051</v>
      </c>
      <c r="B120" s="43">
        <v>2.1240000000000001</v>
      </c>
      <c r="C120" s="43">
        <v>6.2690000000000001</v>
      </c>
      <c r="D120" s="43">
        <v>8.3940000000000001</v>
      </c>
      <c r="E120" s="43"/>
      <c r="F120" s="2">
        <v>159.029</v>
      </c>
      <c r="H120" s="16"/>
    </row>
    <row r="121" spans="1:8" ht="15" customHeight="1" x14ac:dyDescent="0.25">
      <c r="A121" s="127">
        <v>2052</v>
      </c>
      <c r="B121" s="43">
        <v>2.165</v>
      </c>
      <c r="C121" s="43">
        <v>6.4</v>
      </c>
      <c r="D121" s="43">
        <v>8.5649999999999995</v>
      </c>
      <c r="E121" s="43"/>
      <c r="F121" s="2">
        <v>162.16300000000001</v>
      </c>
      <c r="H121" s="16"/>
    </row>
    <row r="122" spans="1:8" ht="15" customHeight="1" x14ac:dyDescent="0.25">
      <c r="A122" s="127">
        <v>2053</v>
      </c>
      <c r="B122" s="43">
        <v>2.1469999999999998</v>
      </c>
      <c r="C122" s="43">
        <v>6.5289999999999999</v>
      </c>
      <c r="D122" s="43">
        <v>8.6760000000000002</v>
      </c>
      <c r="E122" s="43"/>
      <c r="F122" s="2">
        <v>165.31399999999999</v>
      </c>
      <c r="H122" s="16"/>
    </row>
    <row r="123" spans="1:8" ht="15" customHeight="1" x14ac:dyDescent="0.25">
      <c r="A123" s="127">
        <v>2054</v>
      </c>
      <c r="B123" s="43">
        <v>2.1779999999999999</v>
      </c>
      <c r="C123" s="43">
        <v>6.6580000000000004</v>
      </c>
      <c r="D123" s="43">
        <v>8.8350000000000009</v>
      </c>
      <c r="E123" s="43"/>
      <c r="F123" s="2">
        <v>168.524</v>
      </c>
      <c r="H123" s="16"/>
    </row>
    <row r="124" spans="1:8" ht="15" customHeight="1" x14ac:dyDescent="0.25">
      <c r="A124" s="127">
        <v>2055</v>
      </c>
      <c r="B124" s="43">
        <v>2.2010000000000001</v>
      </c>
      <c r="C124" s="43">
        <v>6.79</v>
      </c>
      <c r="D124" s="43">
        <v>8.9909999999999997</v>
      </c>
      <c r="E124" s="43"/>
      <c r="F124" s="2">
        <v>171.785</v>
      </c>
      <c r="H124" s="16"/>
    </row>
    <row r="125" spans="1:8" ht="15" customHeight="1" x14ac:dyDescent="0.25">
      <c r="A125" s="79">
        <v>2056</v>
      </c>
      <c r="B125" s="7">
        <v>2.2040000000000002</v>
      </c>
      <c r="C125" s="7">
        <v>6.93</v>
      </c>
      <c r="D125" s="7">
        <v>9.1340000000000003</v>
      </c>
      <c r="E125" s="7"/>
      <c r="F125" s="98">
        <v>175.07599999999999</v>
      </c>
      <c r="G125" s="5"/>
      <c r="H125" s="16"/>
    </row>
    <row r="126" spans="1:8" ht="15" customHeight="1" x14ac:dyDescent="0.25"/>
    <row r="127" spans="1:8" ht="36.75" customHeight="1" x14ac:dyDescent="0.25">
      <c r="A127" s="199" t="s">
        <v>62</v>
      </c>
      <c r="B127" s="199"/>
      <c r="C127" s="199"/>
      <c r="D127" s="199"/>
      <c r="E127" s="199"/>
      <c r="F127" s="199"/>
    </row>
    <row r="128" spans="1:8" ht="81" customHeight="1" x14ac:dyDescent="0.25">
      <c r="A128" s="199" t="s">
        <v>180</v>
      </c>
      <c r="B128" s="199"/>
      <c r="C128" s="199"/>
      <c r="D128" s="199"/>
      <c r="E128" s="199"/>
      <c r="F128" s="199"/>
    </row>
    <row r="129" spans="1:6" ht="15" customHeight="1" x14ac:dyDescent="0.25">
      <c r="A129" s="160"/>
      <c r="B129" s="160"/>
      <c r="C129" s="160"/>
      <c r="D129" s="160"/>
      <c r="E129" s="160"/>
      <c r="F129" s="160"/>
    </row>
    <row r="130" spans="1:6" ht="15" customHeight="1" x14ac:dyDescent="0.25">
      <c r="B130" s="19"/>
      <c r="C130" s="19"/>
      <c r="D130" s="19"/>
      <c r="E130" s="19"/>
      <c r="F130" s="19"/>
    </row>
    <row r="131" spans="1:6" ht="15" customHeight="1" x14ac:dyDescent="0.25">
      <c r="A131" s="190" t="s">
        <v>23</v>
      </c>
    </row>
    <row r="132" spans="1:6" ht="15" customHeight="1" x14ac:dyDescent="0.25"/>
    <row r="133" spans="1:6" ht="15" customHeight="1" x14ac:dyDescent="0.25"/>
    <row r="134" spans="1:6" ht="15" customHeight="1" x14ac:dyDescent="0.25"/>
    <row r="135" spans="1:6" ht="15" customHeight="1" x14ac:dyDescent="0.25"/>
    <row r="136" spans="1:6" ht="15" customHeight="1" x14ac:dyDescent="0.25"/>
    <row r="137" spans="1:6" ht="15" customHeight="1" x14ac:dyDescent="0.25"/>
    <row r="138" spans="1:6" ht="15" customHeight="1" x14ac:dyDescent="0.25"/>
    <row r="139" spans="1:6" ht="15" customHeight="1" x14ac:dyDescent="0.25"/>
    <row r="140" spans="1:6" ht="15" customHeight="1" x14ac:dyDescent="0.25"/>
    <row r="141" spans="1:6" ht="15" customHeight="1" x14ac:dyDescent="0.25"/>
    <row r="142" spans="1:6" ht="15" customHeight="1" x14ac:dyDescent="0.25"/>
    <row r="143" spans="1:6" ht="15" customHeight="1" x14ac:dyDescent="0.25"/>
    <row r="144" spans="1:6"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sheetData>
  <mergeCells count="3">
    <mergeCell ref="A5:F5"/>
    <mergeCell ref="A127:F127"/>
    <mergeCell ref="A128:F128"/>
  </mergeCells>
  <hyperlinks>
    <hyperlink ref="A131" location="Contents!A1" display="Back to Table of Contents" xr:uid="{7E8968E1-0FEB-0D4E-9A28-32E4830C5CA1}"/>
    <hyperlink ref="A2" r:id="rId1" xr:uid="{649C9D91-208C-F346-A11E-062338F39053}"/>
  </hyperlinks>
  <pageMargins left="0.7" right="0.7" top="0.75" bottom="0.75" header="0.3" footer="0.3"/>
  <pageSetup orientation="portrait" horizontalDpi="1200" verticalDpi="12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16F98-06A5-BB49-A179-88DE7DBD82DE}">
  <sheetPr codeName="Sheet7"/>
  <dimension ref="A1:F61"/>
  <sheetViews>
    <sheetView zoomScaleNormal="100" workbookViewId="0"/>
  </sheetViews>
  <sheetFormatPr defaultColWidth="9.109375" defaultRowHeight="13.8" x14ac:dyDescent="0.25"/>
  <cols>
    <col min="1" max="1" width="13" style="19" customWidth="1"/>
    <col min="2" max="2" width="18.44140625" style="20" customWidth="1"/>
    <col min="3" max="3" width="19.44140625" style="16" customWidth="1"/>
    <col min="4" max="4" width="9.44140625" style="16" customWidth="1"/>
    <col min="5" max="16384" width="9.109375" style="16"/>
  </cols>
  <sheetData>
    <row r="1" spans="1:3" ht="14.25" customHeight="1" x14ac:dyDescent="0.3">
      <c r="A1" s="24" t="s">
        <v>215</v>
      </c>
      <c r="B1" s="16"/>
    </row>
    <row r="2" spans="1:3" ht="14.25" customHeight="1" x14ac:dyDescent="0.25">
      <c r="A2" s="186" t="s">
        <v>0</v>
      </c>
      <c r="B2" s="16"/>
    </row>
    <row r="3" spans="1:3" ht="14.25" customHeight="1" x14ac:dyDescent="0.25">
      <c r="A3" s="16"/>
      <c r="B3" s="16"/>
    </row>
    <row r="4" spans="1:3" ht="15" customHeight="1" x14ac:dyDescent="0.25">
      <c r="B4" s="159"/>
    </row>
    <row r="5" spans="1:3" ht="30" customHeight="1" x14ac:dyDescent="0.25">
      <c r="A5" s="194" t="s">
        <v>144</v>
      </c>
      <c r="B5" s="194"/>
      <c r="C5" s="194"/>
    </row>
    <row r="6" spans="1:3" ht="15" customHeight="1" x14ac:dyDescent="0.25">
      <c r="A6" s="21" t="s">
        <v>49</v>
      </c>
      <c r="B6" s="110"/>
      <c r="C6" s="21"/>
    </row>
    <row r="8" spans="1:3" ht="15" customHeight="1" x14ac:dyDescent="0.25">
      <c r="A8" s="160"/>
      <c r="B8" s="163" t="s">
        <v>3</v>
      </c>
      <c r="C8" s="163" t="s">
        <v>8</v>
      </c>
    </row>
    <row r="9" spans="1:3" ht="15" customHeight="1" x14ac:dyDescent="0.25">
      <c r="A9" s="19">
        <v>2011</v>
      </c>
      <c r="B9" s="43">
        <v>14.893000000000001</v>
      </c>
      <c r="C9" s="35">
        <v>23.295999999999999</v>
      </c>
    </row>
    <row r="10" spans="1:3" ht="15" customHeight="1" x14ac:dyDescent="0.25">
      <c r="A10" s="19">
        <v>2012</v>
      </c>
      <c r="B10" s="43">
        <v>15.208</v>
      </c>
      <c r="C10" s="35">
        <v>21.890999999999998</v>
      </c>
    </row>
    <row r="11" spans="1:3" ht="15" customHeight="1" x14ac:dyDescent="0.25">
      <c r="A11" s="19">
        <v>2013</v>
      </c>
      <c r="B11" s="43">
        <v>16.63</v>
      </c>
      <c r="C11" s="35">
        <v>20.702999999999999</v>
      </c>
    </row>
    <row r="12" spans="1:3" ht="15" customHeight="1" x14ac:dyDescent="0.25">
      <c r="A12" s="19">
        <v>2014</v>
      </c>
      <c r="B12" s="43">
        <v>17.337</v>
      </c>
      <c r="C12" s="35">
        <v>20.119</v>
      </c>
    </row>
    <row r="13" spans="1:3" ht="15" customHeight="1" x14ac:dyDescent="0.25">
      <c r="A13" s="19">
        <v>2015</v>
      </c>
      <c r="B13" s="43">
        <v>17.891999999999999</v>
      </c>
      <c r="C13" s="35">
        <v>20.324999999999999</v>
      </c>
    </row>
    <row r="14" spans="1:3" ht="15" customHeight="1" x14ac:dyDescent="0.25">
      <c r="A14" s="19">
        <v>2016</v>
      </c>
      <c r="B14" s="43">
        <v>17.530999999999999</v>
      </c>
      <c r="C14" s="35">
        <v>20.667000000000002</v>
      </c>
    </row>
    <row r="15" spans="1:3" ht="15" customHeight="1" x14ac:dyDescent="0.25">
      <c r="A15" s="19">
        <v>2017</v>
      </c>
      <c r="B15" s="43">
        <v>17.116</v>
      </c>
      <c r="C15" s="35">
        <v>20.55</v>
      </c>
    </row>
    <row r="16" spans="1:3" ht="15" customHeight="1" x14ac:dyDescent="0.25">
      <c r="A16" s="19">
        <v>2018</v>
      </c>
      <c r="B16" s="43">
        <v>16.294</v>
      </c>
      <c r="C16" s="35">
        <v>20.106000000000002</v>
      </c>
    </row>
    <row r="17" spans="1:6" ht="15" customHeight="1" x14ac:dyDescent="0.25">
      <c r="A17" s="19">
        <v>2019</v>
      </c>
      <c r="B17" s="43">
        <v>16.271000000000001</v>
      </c>
      <c r="C17" s="35">
        <v>20.890999999999998</v>
      </c>
      <c r="E17" s="13"/>
      <c r="F17" s="13"/>
    </row>
    <row r="18" spans="1:6" ht="15" customHeight="1" x14ac:dyDescent="0.25">
      <c r="A18" s="19">
        <v>2020</v>
      </c>
      <c r="B18" s="43">
        <v>16.033999999999999</v>
      </c>
      <c r="C18" s="35">
        <v>30.715</v>
      </c>
      <c r="E18" s="13"/>
      <c r="F18" s="13"/>
    </row>
    <row r="19" spans="1:6" ht="15" customHeight="1" x14ac:dyDescent="0.25">
      <c r="A19" s="19">
        <v>2021</v>
      </c>
      <c r="B19" s="43">
        <v>17.562000000000001</v>
      </c>
      <c r="C19" s="35">
        <v>29.606000000000002</v>
      </c>
      <c r="E19" s="13"/>
      <c r="F19" s="13"/>
    </row>
    <row r="20" spans="1:6" ht="15" customHeight="1" x14ac:dyDescent="0.25">
      <c r="A20" s="19">
        <v>2022</v>
      </c>
      <c r="B20" s="43">
        <v>19.155999999999999</v>
      </c>
      <c r="C20" s="35">
        <v>24.538</v>
      </c>
      <c r="E20" s="13"/>
      <c r="F20" s="13"/>
    </row>
    <row r="21" spans="1:6" ht="15" customHeight="1" x14ac:dyDescent="0.25">
      <c r="A21" s="19">
        <v>2023</v>
      </c>
      <c r="B21" s="43">
        <v>16.209</v>
      </c>
      <c r="C21" s="35">
        <v>22.390999999999998</v>
      </c>
      <c r="E21" s="13"/>
      <c r="F21" s="13"/>
    </row>
    <row r="22" spans="1:6" ht="15" customHeight="1" x14ac:dyDescent="0.25">
      <c r="A22" s="19">
        <v>2024</v>
      </c>
      <c r="B22" s="43">
        <v>16.995999999999999</v>
      </c>
      <c r="C22" s="43">
        <v>23.321000000000002</v>
      </c>
      <c r="E22" s="13"/>
      <c r="F22" s="13"/>
    </row>
    <row r="23" spans="1:6" ht="15" customHeight="1" x14ac:dyDescent="0.25">
      <c r="A23" s="160">
        <v>2025</v>
      </c>
      <c r="B23" s="43">
        <v>17.241</v>
      </c>
      <c r="C23" s="43">
        <v>23.088000000000001</v>
      </c>
      <c r="D23" s="5"/>
      <c r="E23" s="13"/>
      <c r="F23" s="13"/>
    </row>
    <row r="24" spans="1:6" ht="15" customHeight="1" x14ac:dyDescent="0.25">
      <c r="A24" s="19">
        <v>2026</v>
      </c>
      <c r="B24" s="141">
        <v>17.541</v>
      </c>
      <c r="C24" s="141">
        <v>23.347999999999999</v>
      </c>
      <c r="D24" s="86" t="s">
        <v>61</v>
      </c>
      <c r="E24" s="13"/>
    </row>
    <row r="25" spans="1:6" ht="15" customHeight="1" x14ac:dyDescent="0.25">
      <c r="A25" s="19">
        <v>2027</v>
      </c>
      <c r="B25" s="43">
        <v>17.664999999999999</v>
      </c>
      <c r="C25" s="43">
        <v>23.33</v>
      </c>
      <c r="E25" s="13"/>
    </row>
    <row r="26" spans="1:6" ht="15" customHeight="1" x14ac:dyDescent="0.25">
      <c r="A26" s="19">
        <v>2028</v>
      </c>
      <c r="B26" s="43">
        <v>17.513999999999999</v>
      </c>
      <c r="C26" s="43">
        <v>23.157</v>
      </c>
      <c r="E26" s="13"/>
    </row>
    <row r="27" spans="1:6" ht="15" customHeight="1" x14ac:dyDescent="0.25">
      <c r="A27" s="19">
        <v>2029</v>
      </c>
      <c r="B27" s="43">
        <v>17.55</v>
      </c>
      <c r="C27" s="43">
        <v>23.501999999999999</v>
      </c>
      <c r="E27" s="13"/>
    </row>
    <row r="28" spans="1:6" ht="15" customHeight="1" x14ac:dyDescent="0.25">
      <c r="A28" s="19">
        <v>2030</v>
      </c>
      <c r="B28" s="43">
        <v>17.638000000000002</v>
      </c>
      <c r="C28" s="43">
        <v>23.524000000000001</v>
      </c>
      <c r="D28" s="5"/>
      <c r="E28" s="13"/>
    </row>
    <row r="29" spans="1:6" ht="15" customHeight="1" x14ac:dyDescent="0.25">
      <c r="A29" s="19">
        <v>2031</v>
      </c>
      <c r="B29" s="43">
        <v>17.699000000000002</v>
      </c>
      <c r="C29" s="43">
        <v>23.588000000000001</v>
      </c>
      <c r="E29" s="13"/>
    </row>
    <row r="30" spans="1:6" ht="15" customHeight="1" x14ac:dyDescent="0.25">
      <c r="A30" s="19">
        <v>2032</v>
      </c>
      <c r="B30" s="43">
        <v>17.702000000000002</v>
      </c>
      <c r="C30" s="43">
        <v>23.759</v>
      </c>
      <c r="E30" s="13"/>
    </row>
    <row r="31" spans="1:6" ht="15" customHeight="1" x14ac:dyDescent="0.25">
      <c r="A31" s="19">
        <v>2033</v>
      </c>
      <c r="B31" s="43">
        <v>17.684999999999999</v>
      </c>
      <c r="C31" s="43">
        <v>23.940999999999999</v>
      </c>
      <c r="E31" s="13"/>
    </row>
    <row r="32" spans="1:6" ht="15" customHeight="1" x14ac:dyDescent="0.25">
      <c r="A32" s="19">
        <v>2034</v>
      </c>
      <c r="B32" s="43">
        <v>17.681000000000001</v>
      </c>
      <c r="C32" s="43">
        <v>24.151</v>
      </c>
      <c r="E32" s="13"/>
    </row>
    <row r="33" spans="1:5" ht="15" customHeight="1" x14ac:dyDescent="0.25">
      <c r="A33" s="19">
        <v>2035</v>
      </c>
      <c r="B33" s="43">
        <v>17.710999999999999</v>
      </c>
      <c r="C33" s="43">
        <v>24.28</v>
      </c>
      <c r="E33" s="13"/>
    </row>
    <row r="34" spans="1:5" ht="15" customHeight="1" x14ac:dyDescent="0.25">
      <c r="A34" s="19">
        <v>2036</v>
      </c>
      <c r="B34" s="43">
        <v>17.77</v>
      </c>
      <c r="C34" s="43">
        <v>24.439</v>
      </c>
      <c r="E34" s="13"/>
    </row>
    <row r="35" spans="1:5" ht="15" customHeight="1" x14ac:dyDescent="0.25">
      <c r="A35" s="19">
        <v>2037</v>
      </c>
      <c r="B35" s="43">
        <v>17.826000000000001</v>
      </c>
      <c r="C35" s="43">
        <v>24.535</v>
      </c>
    </row>
    <row r="36" spans="1:5" ht="15" customHeight="1" x14ac:dyDescent="0.25">
      <c r="A36" s="19">
        <v>2038</v>
      </c>
      <c r="B36" s="43">
        <v>17.88</v>
      </c>
      <c r="C36" s="43">
        <v>24.690999999999999</v>
      </c>
    </row>
    <row r="37" spans="1:5" ht="15" customHeight="1" x14ac:dyDescent="0.25">
      <c r="A37" s="19">
        <v>2039</v>
      </c>
      <c r="B37" s="43">
        <v>17.945</v>
      </c>
      <c r="C37" s="43">
        <v>24.829000000000001</v>
      </c>
    </row>
    <row r="38" spans="1:5" ht="15" customHeight="1" x14ac:dyDescent="0.25">
      <c r="A38" s="19">
        <v>2040</v>
      </c>
      <c r="B38" s="43">
        <v>17.998000000000001</v>
      </c>
      <c r="C38" s="43">
        <v>24.939</v>
      </c>
    </row>
    <row r="39" spans="1:5" ht="15" customHeight="1" x14ac:dyDescent="0.25">
      <c r="A39" s="19">
        <v>2041</v>
      </c>
      <c r="B39" s="43">
        <v>18.059999999999999</v>
      </c>
      <c r="C39" s="43">
        <v>25.102</v>
      </c>
    </row>
    <row r="40" spans="1:5" ht="15" customHeight="1" x14ac:dyDescent="0.25">
      <c r="A40" s="19">
        <v>2042</v>
      </c>
      <c r="B40" s="43">
        <v>18.12</v>
      </c>
      <c r="C40" s="43">
        <v>25.327999999999999</v>
      </c>
    </row>
    <row r="41" spans="1:5" ht="15" customHeight="1" x14ac:dyDescent="0.25">
      <c r="A41" s="19">
        <v>2043</v>
      </c>
      <c r="B41" s="43">
        <v>18.183</v>
      </c>
      <c r="C41" s="43">
        <v>25.5</v>
      </c>
    </row>
    <row r="42" spans="1:5" ht="15" customHeight="1" x14ac:dyDescent="0.25">
      <c r="A42" s="19">
        <v>2044</v>
      </c>
      <c r="B42" s="43">
        <v>18.222999999999999</v>
      </c>
      <c r="C42" s="43">
        <v>25.675000000000001</v>
      </c>
    </row>
    <row r="43" spans="1:5" ht="15" customHeight="1" x14ac:dyDescent="0.25">
      <c r="A43" s="19">
        <v>2045</v>
      </c>
      <c r="B43" s="43">
        <v>18.268000000000001</v>
      </c>
      <c r="C43" s="43">
        <v>25.841999999999999</v>
      </c>
    </row>
    <row r="44" spans="1:5" ht="15" customHeight="1" x14ac:dyDescent="0.25">
      <c r="A44" s="19">
        <v>2046</v>
      </c>
      <c r="B44" s="43">
        <v>18.327999999999999</v>
      </c>
      <c r="C44" s="43">
        <v>26.029</v>
      </c>
    </row>
    <row r="45" spans="1:5" ht="15" customHeight="1" x14ac:dyDescent="0.25">
      <c r="A45" s="19">
        <v>2047</v>
      </c>
      <c r="B45" s="43">
        <v>18.373999999999999</v>
      </c>
      <c r="C45" s="43">
        <v>26.213000000000001</v>
      </c>
      <c r="D45" s="5"/>
    </row>
    <row r="46" spans="1:5" ht="15" customHeight="1" x14ac:dyDescent="0.25">
      <c r="A46" s="19">
        <v>2048</v>
      </c>
      <c r="B46" s="43">
        <v>18.427</v>
      </c>
      <c r="C46" s="43">
        <v>26.391999999999999</v>
      </c>
    </row>
    <row r="47" spans="1:5" ht="15" customHeight="1" x14ac:dyDescent="0.25">
      <c r="A47" s="19">
        <v>2049</v>
      </c>
      <c r="B47" s="43">
        <v>18.454999999999998</v>
      </c>
      <c r="C47" s="43">
        <v>26.568000000000001</v>
      </c>
    </row>
    <row r="48" spans="1:5" ht="15" customHeight="1" x14ac:dyDescent="0.25">
      <c r="A48" s="19">
        <v>2050</v>
      </c>
      <c r="B48" s="43">
        <v>18.489000000000001</v>
      </c>
      <c r="C48" s="43">
        <v>26.727</v>
      </c>
    </row>
    <row r="49" spans="1:5" ht="15" customHeight="1" x14ac:dyDescent="0.25">
      <c r="A49" s="19">
        <v>2051</v>
      </c>
      <c r="B49" s="43">
        <v>18.544</v>
      </c>
      <c r="C49" s="43">
        <v>26.937999999999999</v>
      </c>
    </row>
    <row r="50" spans="1:5" ht="15" customHeight="1" x14ac:dyDescent="0.25">
      <c r="A50" s="19">
        <v>2052</v>
      </c>
      <c r="B50" s="43">
        <v>18.600999999999999</v>
      </c>
      <c r="C50" s="43">
        <v>27.166</v>
      </c>
    </row>
    <row r="51" spans="1:5" ht="15" customHeight="1" x14ac:dyDescent="0.25">
      <c r="A51" s="19">
        <v>2053</v>
      </c>
      <c r="B51" s="43">
        <v>18.646999999999998</v>
      </c>
      <c r="C51" s="43">
        <v>27.323</v>
      </c>
      <c r="D51" s="5"/>
    </row>
    <row r="52" spans="1:5" ht="15" customHeight="1" x14ac:dyDescent="0.25">
      <c r="A52" s="19">
        <v>2054</v>
      </c>
      <c r="B52" s="43">
        <v>18.704000000000001</v>
      </c>
      <c r="C52" s="43">
        <v>27.54</v>
      </c>
    </row>
    <row r="53" spans="1:5" ht="15" customHeight="1" x14ac:dyDescent="0.25">
      <c r="A53" s="19">
        <v>2055</v>
      </c>
      <c r="B53" s="43">
        <v>18.741</v>
      </c>
      <c r="C53" s="43">
        <v>27.733000000000001</v>
      </c>
    </row>
    <row r="54" spans="1:5" ht="15" customHeight="1" x14ac:dyDescent="0.25">
      <c r="A54" s="19">
        <v>2056</v>
      </c>
      <c r="B54" s="43">
        <v>18.797999999999998</v>
      </c>
      <c r="C54" s="43">
        <v>27.931999999999999</v>
      </c>
      <c r="D54" s="63"/>
      <c r="E54" s="14"/>
    </row>
    <row r="55" spans="1:5" ht="40.5" customHeight="1" x14ac:dyDescent="0.25">
      <c r="A55" s="154" t="s">
        <v>63</v>
      </c>
      <c r="B55" s="7">
        <v>17.317</v>
      </c>
      <c r="C55" s="78">
        <v>21.152999999999999</v>
      </c>
      <c r="E55" s="13"/>
    </row>
    <row r="56" spans="1:5" ht="15" customHeight="1" x14ac:dyDescent="0.25"/>
    <row r="57" spans="1:5" ht="28.05" customHeight="1" x14ac:dyDescent="0.25">
      <c r="A57" s="199" t="s">
        <v>64</v>
      </c>
      <c r="B57" s="199"/>
      <c r="C57" s="199"/>
    </row>
    <row r="58" spans="1:5" x14ac:dyDescent="0.25">
      <c r="A58" s="160"/>
      <c r="B58" s="160"/>
      <c r="C58" s="160"/>
    </row>
    <row r="59" spans="1:5" x14ac:dyDescent="0.25">
      <c r="B59" s="19"/>
      <c r="C59" s="19"/>
    </row>
    <row r="60" spans="1:5" ht="15" customHeight="1" x14ac:dyDescent="0.25">
      <c r="A60" s="186" t="s">
        <v>23</v>
      </c>
    </row>
    <row r="61" spans="1:5" ht="15" customHeight="1" x14ac:dyDescent="0.25"/>
  </sheetData>
  <mergeCells count="2">
    <mergeCell ref="A5:C5"/>
    <mergeCell ref="A57:C57"/>
  </mergeCells>
  <hyperlinks>
    <hyperlink ref="A60" location="Contents!A1" display="Back to Table of Contents" xr:uid="{4DBAB9CC-321A-154C-8C48-5AA01A4E8CAD}"/>
    <hyperlink ref="A2" r:id="rId1" xr:uid="{960C4B27-0800-FA4A-908C-D77FE2F92C15}"/>
  </hyperlinks>
  <pageMargins left="0.7" right="0.7" top="0.75" bottom="0.75" header="0.3" footer="0.3"/>
  <pageSetup orientation="portrait" horizontalDpi="1200" verticalDpi="120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35D00-F52F-4C72-88DB-B3A5022C8420}">
  <sheetPr codeName="Sheet8"/>
  <dimension ref="A1:H64"/>
  <sheetViews>
    <sheetView zoomScaleNormal="100" workbookViewId="0"/>
  </sheetViews>
  <sheetFormatPr defaultColWidth="11.44140625" defaultRowHeight="13.8" x14ac:dyDescent="0.25"/>
  <cols>
    <col min="1" max="1" width="12.44140625" style="26" customWidth="1"/>
    <col min="2" max="5" width="12.44140625" style="111" customWidth="1"/>
    <col min="6" max="6" width="13.44140625" style="111" customWidth="1"/>
    <col min="7" max="7" width="12.44140625" style="111" customWidth="1"/>
    <col min="8" max="16384" width="11.44140625" style="16"/>
  </cols>
  <sheetData>
    <row r="1" spans="1:7" ht="14.4" x14ac:dyDescent="0.3">
      <c r="A1" s="24" t="s">
        <v>215</v>
      </c>
    </row>
    <row r="2" spans="1:7" x14ac:dyDescent="0.25">
      <c r="A2" s="186" t="s">
        <v>0</v>
      </c>
    </row>
    <row r="3" spans="1:7" x14ac:dyDescent="0.25">
      <c r="A3" s="27"/>
    </row>
    <row r="4" spans="1:7" x14ac:dyDescent="0.25">
      <c r="B4" s="112"/>
      <c r="C4" s="112"/>
      <c r="D4" s="112"/>
      <c r="E4" s="113"/>
      <c r="F4" s="113"/>
      <c r="G4" s="113"/>
    </row>
    <row r="5" spans="1:7" ht="30" customHeight="1" x14ac:dyDescent="0.25">
      <c r="A5" s="202" t="s">
        <v>145</v>
      </c>
      <c r="B5" s="202"/>
      <c r="C5" s="202"/>
      <c r="D5" s="202"/>
      <c r="E5" s="202"/>
      <c r="F5" s="202"/>
      <c r="G5" s="202"/>
    </row>
    <row r="6" spans="1:7" x14ac:dyDescent="0.25">
      <c r="A6" s="28" t="s">
        <v>49</v>
      </c>
      <c r="B6" s="114"/>
      <c r="C6" s="114"/>
      <c r="D6" s="114"/>
      <c r="E6" s="114"/>
      <c r="F6" s="114"/>
      <c r="G6" s="114"/>
    </row>
    <row r="8" spans="1:7" x14ac:dyDescent="0.25">
      <c r="C8" s="203" t="s">
        <v>9</v>
      </c>
      <c r="D8" s="203"/>
      <c r="E8" s="203"/>
    </row>
    <row r="9" spans="1:7" ht="43.8" x14ac:dyDescent="0.25">
      <c r="A9" s="29"/>
      <c r="B9" s="157" t="s">
        <v>7</v>
      </c>
      <c r="C9" s="115" t="s">
        <v>164</v>
      </c>
      <c r="D9" s="115" t="s">
        <v>10</v>
      </c>
      <c r="E9" s="115" t="s">
        <v>65</v>
      </c>
      <c r="F9" s="115" t="s">
        <v>13</v>
      </c>
      <c r="G9" s="115" t="s">
        <v>14</v>
      </c>
    </row>
    <row r="10" spans="1:7" x14ac:dyDescent="0.25">
      <c r="A10" s="26">
        <v>2011</v>
      </c>
      <c r="B10" s="144">
        <v>23.295999999999999</v>
      </c>
      <c r="C10" s="144">
        <v>4.9370000000000003</v>
      </c>
      <c r="D10" s="144">
        <v>4.6870000000000003</v>
      </c>
      <c r="E10" s="144">
        <v>3.4750000000000001</v>
      </c>
      <c r="F10" s="144">
        <v>8.7100000000000009</v>
      </c>
      <c r="G10" s="144">
        <v>1.4870000000000001</v>
      </c>
    </row>
    <row r="11" spans="1:7" x14ac:dyDescent="0.25">
      <c r="A11" s="26">
        <v>2012</v>
      </c>
      <c r="B11" s="144">
        <v>21.890999999999998</v>
      </c>
      <c r="C11" s="144">
        <v>4.5049999999999999</v>
      </c>
      <c r="D11" s="144">
        <v>4.766</v>
      </c>
      <c r="E11" s="144">
        <v>3.3330000000000002</v>
      </c>
      <c r="F11" s="144">
        <v>7.9189999999999996</v>
      </c>
      <c r="G11" s="144">
        <v>1.3680000000000001</v>
      </c>
    </row>
    <row r="12" spans="1:7" x14ac:dyDescent="0.25">
      <c r="A12" s="26">
        <v>2013</v>
      </c>
      <c r="B12" s="144">
        <v>20.702999999999999</v>
      </c>
      <c r="C12" s="144">
        <v>4.5999999999999996</v>
      </c>
      <c r="D12" s="144">
        <v>4.8410000000000002</v>
      </c>
      <c r="E12" s="144">
        <v>2.734</v>
      </c>
      <c r="F12" s="144">
        <v>7.2050000000000001</v>
      </c>
      <c r="G12" s="144">
        <v>1.3240000000000001</v>
      </c>
    </row>
    <row r="13" spans="1:7" x14ac:dyDescent="0.25">
      <c r="A13" s="26">
        <v>2014</v>
      </c>
      <c r="B13" s="144">
        <v>20.119</v>
      </c>
      <c r="C13" s="144">
        <v>4.7679999999999998</v>
      </c>
      <c r="D13" s="144">
        <v>4.8479999999999999</v>
      </c>
      <c r="E13" s="144">
        <v>2.4249999999999998</v>
      </c>
      <c r="F13" s="144">
        <v>6.7640000000000002</v>
      </c>
      <c r="G13" s="144">
        <v>1.3140000000000001</v>
      </c>
    </row>
    <row r="14" spans="1:7" x14ac:dyDescent="0.25">
      <c r="A14" s="26">
        <v>2015</v>
      </c>
      <c r="B14" s="144">
        <v>20.324999999999999</v>
      </c>
      <c r="C14" s="144">
        <v>5.1559999999999997</v>
      </c>
      <c r="D14" s="144">
        <v>4.8550000000000004</v>
      </c>
      <c r="E14" s="144">
        <v>2.6320000000000001</v>
      </c>
      <c r="F14" s="144">
        <v>6.4530000000000003</v>
      </c>
      <c r="G14" s="144">
        <v>1.2290000000000001</v>
      </c>
    </row>
    <row r="15" spans="1:7" x14ac:dyDescent="0.25">
      <c r="A15" s="26">
        <v>2016</v>
      </c>
      <c r="B15" s="144">
        <v>20.667000000000002</v>
      </c>
      <c r="C15" s="144">
        <v>5.4320000000000004</v>
      </c>
      <c r="D15" s="144">
        <v>4.883</v>
      </c>
      <c r="E15" s="144">
        <v>2.706</v>
      </c>
      <c r="F15" s="144">
        <v>6.3579999999999997</v>
      </c>
      <c r="G15" s="144">
        <v>1.288</v>
      </c>
    </row>
    <row r="16" spans="1:7" x14ac:dyDescent="0.25">
      <c r="A16" s="26">
        <v>2017</v>
      </c>
      <c r="B16" s="144">
        <v>20.55</v>
      </c>
      <c r="C16" s="144">
        <v>5.3179999999999996</v>
      </c>
      <c r="D16" s="144">
        <v>4.8470000000000004</v>
      </c>
      <c r="E16" s="144">
        <v>2.8340000000000001</v>
      </c>
      <c r="F16" s="144">
        <v>6.1950000000000003</v>
      </c>
      <c r="G16" s="144">
        <v>1.355</v>
      </c>
    </row>
    <row r="17" spans="1:8" x14ac:dyDescent="0.25">
      <c r="A17" s="26">
        <v>2018</v>
      </c>
      <c r="B17" s="144">
        <v>20.106000000000002</v>
      </c>
      <c r="C17" s="144">
        <v>5.077</v>
      </c>
      <c r="D17" s="144">
        <v>4.8049999999999997</v>
      </c>
      <c r="E17" s="144">
        <v>2.4609999999999999</v>
      </c>
      <c r="F17" s="144">
        <v>6.173</v>
      </c>
      <c r="G17" s="144">
        <v>1.59</v>
      </c>
    </row>
    <row r="18" spans="1:8" x14ac:dyDescent="0.25">
      <c r="A18" s="26">
        <v>2019</v>
      </c>
      <c r="B18" s="144">
        <v>20.890999999999998</v>
      </c>
      <c r="C18" s="144">
        <v>5.2919999999999998</v>
      </c>
      <c r="D18" s="144">
        <v>4.8789999999999996</v>
      </c>
      <c r="E18" s="144">
        <v>2.6720000000000002</v>
      </c>
      <c r="F18" s="144">
        <v>6.2859999999999996</v>
      </c>
      <c r="G18" s="144">
        <v>1.762</v>
      </c>
    </row>
    <row r="19" spans="1:8" x14ac:dyDescent="0.25">
      <c r="A19" s="26">
        <v>2020</v>
      </c>
      <c r="B19" s="144">
        <v>30.715</v>
      </c>
      <c r="C19" s="144">
        <v>6.1</v>
      </c>
      <c r="D19" s="144">
        <v>5.1079999999999997</v>
      </c>
      <c r="E19" s="144">
        <v>10.257999999999999</v>
      </c>
      <c r="F19" s="144">
        <v>7.6289999999999996</v>
      </c>
      <c r="G19" s="144">
        <v>1.619</v>
      </c>
    </row>
    <row r="20" spans="1:8" x14ac:dyDescent="0.25">
      <c r="A20" s="26">
        <v>2021</v>
      </c>
      <c r="B20" s="144">
        <v>29.606000000000002</v>
      </c>
      <c r="C20" s="144">
        <v>5.6289999999999996</v>
      </c>
      <c r="D20" s="144">
        <v>4.899</v>
      </c>
      <c r="E20" s="144">
        <v>10.449</v>
      </c>
      <c r="F20" s="144">
        <v>7.101</v>
      </c>
      <c r="G20" s="144">
        <v>1.5289999999999999</v>
      </c>
    </row>
    <row r="21" spans="1:8" x14ac:dyDescent="0.25">
      <c r="A21" s="26">
        <v>2022</v>
      </c>
      <c r="B21" s="144">
        <v>24.538</v>
      </c>
      <c r="C21" s="144">
        <v>5.64</v>
      </c>
      <c r="D21" s="144">
        <v>4.7430000000000003</v>
      </c>
      <c r="E21" s="144">
        <v>5.7830000000000004</v>
      </c>
      <c r="F21" s="144">
        <v>6.5110000000000001</v>
      </c>
      <c r="G21" s="144">
        <v>1.861</v>
      </c>
    </row>
    <row r="22" spans="1:8" x14ac:dyDescent="0.25">
      <c r="A22" s="26">
        <v>2023</v>
      </c>
      <c r="B22" s="144">
        <v>22.390999999999998</v>
      </c>
      <c r="C22" s="144">
        <v>5.7060000000000004</v>
      </c>
      <c r="D22" s="144">
        <v>4.92</v>
      </c>
      <c r="E22" s="144">
        <v>3.0920000000000001</v>
      </c>
      <c r="F22" s="144">
        <v>6.2709999999999999</v>
      </c>
      <c r="G22" s="144">
        <v>2.403</v>
      </c>
    </row>
    <row r="23" spans="1:8" x14ac:dyDescent="0.25">
      <c r="A23" s="26">
        <v>2024</v>
      </c>
      <c r="B23" s="144">
        <v>23.321000000000002</v>
      </c>
      <c r="C23" s="144">
        <v>5.61</v>
      </c>
      <c r="D23" s="144">
        <v>5.024</v>
      </c>
      <c r="E23" s="144">
        <v>3.3940000000000001</v>
      </c>
      <c r="F23" s="144">
        <v>6.2530000000000001</v>
      </c>
      <c r="G23" s="144">
        <v>3.04</v>
      </c>
    </row>
    <row r="24" spans="1:8" x14ac:dyDescent="0.25">
      <c r="A24" s="29">
        <v>2025</v>
      </c>
      <c r="B24" s="144">
        <v>23.088000000000001</v>
      </c>
      <c r="C24" s="144">
        <v>5.992</v>
      </c>
      <c r="D24" s="144">
        <v>5.1879999999999997</v>
      </c>
      <c r="E24" s="144">
        <v>2.5489999999999999</v>
      </c>
      <c r="F24" s="144">
        <v>6.1669999999999998</v>
      </c>
      <c r="G24" s="144">
        <v>3.1949999999999998</v>
      </c>
    </row>
    <row r="25" spans="1:8" x14ac:dyDescent="0.25">
      <c r="A25" s="26">
        <v>2026</v>
      </c>
      <c r="B25" s="145">
        <v>23.347999999999999</v>
      </c>
      <c r="C25" s="145">
        <v>5.9820000000000002</v>
      </c>
      <c r="D25" s="145">
        <v>5.2220000000000004</v>
      </c>
      <c r="E25" s="145">
        <v>2.9940000000000002</v>
      </c>
      <c r="F25" s="145">
        <v>5.8940000000000001</v>
      </c>
      <c r="G25" s="145">
        <v>3.2570000000000001</v>
      </c>
      <c r="H25" s="80" t="s">
        <v>61</v>
      </c>
    </row>
    <row r="26" spans="1:8" x14ac:dyDescent="0.25">
      <c r="A26" s="26">
        <v>2027</v>
      </c>
      <c r="B26" s="144">
        <v>23.33</v>
      </c>
      <c r="C26" s="144">
        <v>5.9589999999999996</v>
      </c>
      <c r="D26" s="144">
        <v>5.31</v>
      </c>
      <c r="E26" s="144">
        <v>3.0880000000000001</v>
      </c>
      <c r="F26" s="144">
        <v>5.6479999999999997</v>
      </c>
      <c r="G26" s="144">
        <v>3.3250000000000002</v>
      </c>
      <c r="H26" s="5"/>
    </row>
    <row r="27" spans="1:8" x14ac:dyDescent="0.25">
      <c r="A27" s="26">
        <v>2028</v>
      </c>
      <c r="B27" s="144">
        <v>23.157</v>
      </c>
      <c r="C27" s="144">
        <v>5.9550000000000001</v>
      </c>
      <c r="D27" s="144">
        <v>5.4089999999999998</v>
      </c>
      <c r="E27" s="144">
        <v>2.7320000000000002</v>
      </c>
      <c r="F27" s="144">
        <v>5.548</v>
      </c>
      <c r="G27" s="144">
        <v>3.5129999999999999</v>
      </c>
      <c r="H27" s="5"/>
    </row>
    <row r="28" spans="1:8" x14ac:dyDescent="0.25">
      <c r="A28" s="26">
        <v>2029</v>
      </c>
      <c r="B28" s="144">
        <v>23.501999999999999</v>
      </c>
      <c r="C28" s="144">
        <v>5.9980000000000002</v>
      </c>
      <c r="D28" s="144">
        <v>5.4939999999999998</v>
      </c>
      <c r="E28" s="144">
        <v>2.9049999999999998</v>
      </c>
      <c r="F28" s="144">
        <v>5.4260000000000002</v>
      </c>
      <c r="G28" s="144">
        <v>3.6779999999999999</v>
      </c>
      <c r="H28" s="5"/>
    </row>
    <row r="29" spans="1:8" x14ac:dyDescent="0.25">
      <c r="A29" s="26">
        <v>2030</v>
      </c>
      <c r="B29" s="144">
        <v>23.524000000000001</v>
      </c>
      <c r="C29" s="144">
        <v>6.0380000000000003</v>
      </c>
      <c r="D29" s="144">
        <v>5.57</v>
      </c>
      <c r="E29" s="144">
        <v>2.7669999999999999</v>
      </c>
      <c r="F29" s="144">
        <v>5.319</v>
      </c>
      <c r="G29" s="144">
        <v>3.8290000000000002</v>
      </c>
      <c r="H29" s="5"/>
    </row>
    <row r="30" spans="1:8" x14ac:dyDescent="0.25">
      <c r="A30" s="26">
        <v>2031</v>
      </c>
      <c r="B30" s="144">
        <v>23.588000000000001</v>
      </c>
      <c r="C30" s="144">
        <v>6.0990000000000002</v>
      </c>
      <c r="D30" s="144">
        <v>5.6420000000000003</v>
      </c>
      <c r="E30" s="144">
        <v>2.6419999999999999</v>
      </c>
      <c r="F30" s="144">
        <v>5.2160000000000002</v>
      </c>
      <c r="G30" s="144">
        <v>3.9889999999999999</v>
      </c>
      <c r="H30" s="5"/>
    </row>
    <row r="31" spans="1:8" x14ac:dyDescent="0.25">
      <c r="A31" s="26">
        <v>2032</v>
      </c>
      <c r="B31" s="144">
        <v>23.759</v>
      </c>
      <c r="C31" s="144">
        <v>6.1950000000000003</v>
      </c>
      <c r="D31" s="144">
        <v>5.7060000000000004</v>
      </c>
      <c r="E31" s="144">
        <v>2.5870000000000002</v>
      </c>
      <c r="F31" s="144">
        <v>5.1230000000000002</v>
      </c>
      <c r="G31" s="144">
        <v>4.1470000000000002</v>
      </c>
      <c r="H31" s="5"/>
    </row>
    <row r="32" spans="1:8" x14ac:dyDescent="0.25">
      <c r="A32" s="26">
        <v>2033</v>
      </c>
      <c r="B32" s="144">
        <v>23.940999999999999</v>
      </c>
      <c r="C32" s="144">
        <v>6.3369999999999997</v>
      </c>
      <c r="D32" s="144">
        <v>5.7629999999999999</v>
      </c>
      <c r="E32" s="144">
        <v>2.536</v>
      </c>
      <c r="F32" s="144">
        <v>5.0350000000000001</v>
      </c>
      <c r="G32" s="144">
        <v>4.2690000000000001</v>
      </c>
      <c r="H32" s="5"/>
    </row>
    <row r="33" spans="1:8" x14ac:dyDescent="0.25">
      <c r="A33" s="26">
        <v>2034</v>
      </c>
      <c r="B33" s="144">
        <v>24.151</v>
      </c>
      <c r="C33" s="144">
        <v>6.4630000000000001</v>
      </c>
      <c r="D33" s="144">
        <v>5.8090000000000002</v>
      </c>
      <c r="E33" s="144">
        <v>2.5409999999999999</v>
      </c>
      <c r="F33" s="144">
        <v>4.9497</v>
      </c>
      <c r="G33" s="144">
        <v>4.3890000000000002</v>
      </c>
      <c r="H33" s="5"/>
    </row>
    <row r="34" spans="1:8" x14ac:dyDescent="0.25">
      <c r="A34" s="26">
        <v>2035</v>
      </c>
      <c r="B34" s="144">
        <v>24.28</v>
      </c>
      <c r="C34" s="144">
        <v>6.5640000000000001</v>
      </c>
      <c r="D34" s="144">
        <v>5.8470000000000004</v>
      </c>
      <c r="E34" s="144">
        <v>2.5089999999999999</v>
      </c>
      <c r="F34" s="144">
        <v>4.8739999999999997</v>
      </c>
      <c r="G34" s="144">
        <v>4.4859999999999998</v>
      </c>
      <c r="H34" s="5"/>
    </row>
    <row r="35" spans="1:8" x14ac:dyDescent="0.25">
      <c r="A35" s="26">
        <v>2036</v>
      </c>
      <c r="B35" s="144">
        <v>24.439</v>
      </c>
      <c r="C35" s="144">
        <v>6.6689999999999996</v>
      </c>
      <c r="D35" s="144">
        <v>5.88</v>
      </c>
      <c r="E35" s="144">
        <v>2.4969999999999999</v>
      </c>
      <c r="F35" s="144">
        <v>4.8040000000000003</v>
      </c>
      <c r="G35" s="144">
        <v>4.5910000000000002</v>
      </c>
      <c r="H35" s="5"/>
    </row>
    <row r="36" spans="1:8" x14ac:dyDescent="0.25">
      <c r="A36" s="26">
        <v>2037</v>
      </c>
      <c r="B36" s="144">
        <v>24.535</v>
      </c>
      <c r="C36" s="144">
        <v>6.758</v>
      </c>
      <c r="D36" s="144">
        <v>5.8689999999999998</v>
      </c>
      <c r="E36" s="144">
        <v>2.484</v>
      </c>
      <c r="F36" s="144">
        <v>4.7380000000000004</v>
      </c>
      <c r="G36" s="144">
        <v>4.6870000000000003</v>
      </c>
      <c r="H36" s="5"/>
    </row>
    <row r="37" spans="1:8" x14ac:dyDescent="0.25">
      <c r="A37" s="26">
        <v>2038</v>
      </c>
      <c r="B37" s="144">
        <v>24.690999999999999</v>
      </c>
      <c r="C37" s="144">
        <v>6.8630000000000004</v>
      </c>
      <c r="D37" s="144">
        <v>5.8780000000000001</v>
      </c>
      <c r="E37" s="144">
        <v>2.4729999999999999</v>
      </c>
      <c r="F37" s="144">
        <v>4.6890000000000001</v>
      </c>
      <c r="G37" s="144">
        <v>4.7880000000000003</v>
      </c>
      <c r="H37" s="5"/>
    </row>
    <row r="38" spans="1:8" x14ac:dyDescent="0.25">
      <c r="A38" s="26">
        <v>2039</v>
      </c>
      <c r="B38" s="144">
        <v>24.829000000000001</v>
      </c>
      <c r="C38" s="144">
        <v>6.968</v>
      </c>
      <c r="D38" s="144">
        <v>5.8609999999999998</v>
      </c>
      <c r="E38" s="144">
        <v>2.456</v>
      </c>
      <c r="F38" s="144">
        <v>4.657</v>
      </c>
      <c r="G38" s="144">
        <v>4.8869999999999996</v>
      </c>
      <c r="H38" s="5"/>
    </row>
    <row r="39" spans="1:8" x14ac:dyDescent="0.25">
      <c r="A39" s="26">
        <v>2040</v>
      </c>
      <c r="B39" s="144">
        <v>24.939</v>
      </c>
      <c r="C39" s="144">
        <v>7.0609999999999999</v>
      </c>
      <c r="D39" s="144">
        <v>5.8049999999999997</v>
      </c>
      <c r="E39" s="144">
        <v>2.4430000000000001</v>
      </c>
      <c r="F39" s="144">
        <v>4.641</v>
      </c>
      <c r="G39" s="144">
        <v>4.9889999999999999</v>
      </c>
      <c r="H39" s="5"/>
    </row>
    <row r="40" spans="1:8" x14ac:dyDescent="0.25">
      <c r="A40" s="26">
        <v>2041</v>
      </c>
      <c r="B40" s="144">
        <v>25.102</v>
      </c>
      <c r="C40" s="144">
        <v>7.16</v>
      </c>
      <c r="D40" s="144">
        <v>5.77</v>
      </c>
      <c r="E40" s="144">
        <v>2.4329999999999998</v>
      </c>
      <c r="F40" s="144">
        <v>4.641</v>
      </c>
      <c r="G40" s="144">
        <v>5.0970000000000004</v>
      </c>
      <c r="H40" s="5"/>
    </row>
    <row r="41" spans="1:8" x14ac:dyDescent="0.25">
      <c r="A41" s="26">
        <v>2042</v>
      </c>
      <c r="B41" s="144">
        <v>25.327999999999999</v>
      </c>
      <c r="C41" s="144">
        <v>7.2519999999999998</v>
      </c>
      <c r="D41" s="144">
        <v>5.798</v>
      </c>
      <c r="E41" s="144">
        <v>2.42</v>
      </c>
      <c r="F41" s="144">
        <v>4.641</v>
      </c>
      <c r="G41" s="144">
        <v>5.2169999999999996</v>
      </c>
      <c r="H41" s="5"/>
    </row>
    <row r="42" spans="1:8" x14ac:dyDescent="0.25">
      <c r="A42" s="26">
        <v>2043</v>
      </c>
      <c r="B42" s="144">
        <v>25.5</v>
      </c>
      <c r="C42" s="144">
        <v>7.3369999999999997</v>
      </c>
      <c r="D42" s="144">
        <v>5.7779999999999996</v>
      </c>
      <c r="E42" s="144">
        <v>2.41</v>
      </c>
      <c r="F42" s="144">
        <v>4.641</v>
      </c>
      <c r="G42" s="144">
        <v>5.3339999999999996</v>
      </c>
      <c r="H42" s="5"/>
    </row>
    <row r="43" spans="1:8" x14ac:dyDescent="0.25">
      <c r="A43" s="26">
        <v>2044</v>
      </c>
      <c r="B43" s="144">
        <v>25.675000000000001</v>
      </c>
      <c r="C43" s="144">
        <v>7.415</v>
      </c>
      <c r="D43" s="144">
        <v>5.7779999999999996</v>
      </c>
      <c r="E43" s="144">
        <v>2.3980000000000001</v>
      </c>
      <c r="F43" s="144">
        <v>4.641</v>
      </c>
      <c r="G43" s="144">
        <v>5.4429999999999996</v>
      </c>
      <c r="H43" s="5"/>
    </row>
    <row r="44" spans="1:8" x14ac:dyDescent="0.25">
      <c r="A44" s="26">
        <v>2045</v>
      </c>
      <c r="B44" s="144">
        <v>25.841999999999999</v>
      </c>
      <c r="C44" s="144">
        <v>7.4870000000000001</v>
      </c>
      <c r="D44" s="144">
        <v>5.7720000000000002</v>
      </c>
      <c r="E44" s="144">
        <v>2.3879999999999999</v>
      </c>
      <c r="F44" s="144">
        <v>4.641</v>
      </c>
      <c r="G44" s="144">
        <v>5.5540000000000003</v>
      </c>
      <c r="H44" s="5"/>
    </row>
    <row r="45" spans="1:8" x14ac:dyDescent="0.25">
      <c r="A45" s="26">
        <v>2046</v>
      </c>
      <c r="B45" s="144">
        <v>26.029</v>
      </c>
      <c r="C45" s="144">
        <v>7.5590000000000002</v>
      </c>
      <c r="D45" s="144">
        <v>5.774</v>
      </c>
      <c r="E45" s="144">
        <v>2.3780000000000001</v>
      </c>
      <c r="F45" s="144">
        <v>4.641</v>
      </c>
      <c r="G45" s="144">
        <v>5.6760000000000002</v>
      </c>
      <c r="H45" s="5"/>
    </row>
    <row r="46" spans="1:8" x14ac:dyDescent="0.25">
      <c r="A46" s="26">
        <v>2047</v>
      </c>
      <c r="B46" s="144">
        <v>26.213000000000001</v>
      </c>
      <c r="C46" s="144">
        <v>7.6239999999999997</v>
      </c>
      <c r="D46" s="144">
        <v>5.7889999999999997</v>
      </c>
      <c r="E46" s="144">
        <v>2.367</v>
      </c>
      <c r="F46" s="144">
        <v>4.641</v>
      </c>
      <c r="G46" s="144">
        <v>5.7919999999999998</v>
      </c>
      <c r="H46" s="5"/>
    </row>
    <row r="47" spans="1:8" x14ac:dyDescent="0.25">
      <c r="A47" s="26">
        <v>2048</v>
      </c>
      <c r="B47" s="144">
        <v>26.391999999999999</v>
      </c>
      <c r="C47" s="144">
        <v>7.6870000000000003</v>
      </c>
      <c r="D47" s="144">
        <v>5.7990000000000004</v>
      </c>
      <c r="E47" s="144">
        <v>2.3580000000000001</v>
      </c>
      <c r="F47" s="144">
        <v>4.641</v>
      </c>
      <c r="G47" s="144">
        <v>5.907</v>
      </c>
      <c r="H47" s="5"/>
    </row>
    <row r="48" spans="1:8" x14ac:dyDescent="0.25">
      <c r="A48" s="26">
        <v>2049</v>
      </c>
      <c r="B48" s="144">
        <v>26.568000000000001</v>
      </c>
      <c r="C48" s="144">
        <v>7.7489999999999997</v>
      </c>
      <c r="D48" s="144">
        <v>5.8079999999999998</v>
      </c>
      <c r="E48" s="144">
        <v>2.347</v>
      </c>
      <c r="F48" s="144">
        <v>4.641</v>
      </c>
      <c r="G48" s="144">
        <v>6.0220000000000002</v>
      </c>
      <c r="H48" s="5"/>
    </row>
    <row r="49" spans="1:8" x14ac:dyDescent="0.25">
      <c r="A49" s="26">
        <v>2050</v>
      </c>
      <c r="B49" s="144">
        <v>26.727</v>
      </c>
      <c r="C49" s="144">
        <v>7.8040000000000003</v>
      </c>
      <c r="D49" s="144">
        <v>5.8010000000000002</v>
      </c>
      <c r="E49" s="144">
        <v>2.3380000000000001</v>
      </c>
      <c r="F49" s="144">
        <v>4.641</v>
      </c>
      <c r="G49" s="144">
        <v>6.1429999999999998</v>
      </c>
      <c r="H49" s="5"/>
    </row>
    <row r="50" spans="1:8" x14ac:dyDescent="0.25">
      <c r="A50" s="26">
        <v>2051</v>
      </c>
      <c r="B50" s="144">
        <v>26.937999999999999</v>
      </c>
      <c r="C50" s="144">
        <v>7.8579999999999997</v>
      </c>
      <c r="D50" s="144">
        <v>5.84</v>
      </c>
      <c r="E50" s="144">
        <v>2.3290000000000002</v>
      </c>
      <c r="F50" s="144">
        <v>4.641</v>
      </c>
      <c r="G50" s="144">
        <v>6.2690000000000001</v>
      </c>
      <c r="H50" s="5"/>
    </row>
    <row r="51" spans="1:8" x14ac:dyDescent="0.25">
      <c r="A51" s="26">
        <v>2052</v>
      </c>
      <c r="B51" s="144">
        <v>27.166</v>
      </c>
      <c r="C51" s="144">
        <v>7.9080000000000004</v>
      </c>
      <c r="D51" s="144">
        <v>5.8970000000000002</v>
      </c>
      <c r="E51" s="144">
        <v>2.3199999999999998</v>
      </c>
      <c r="F51" s="144">
        <v>4.641</v>
      </c>
      <c r="G51" s="144">
        <v>6.4</v>
      </c>
      <c r="H51" s="5"/>
    </row>
    <row r="52" spans="1:8" x14ac:dyDescent="0.25">
      <c r="A52" s="26">
        <v>2053</v>
      </c>
      <c r="B52" s="144">
        <v>27.323</v>
      </c>
      <c r="C52" s="144">
        <v>7.9530000000000003</v>
      </c>
      <c r="D52" s="144">
        <v>5.8890000000000002</v>
      </c>
      <c r="E52" s="144">
        <v>2.3119999999999998</v>
      </c>
      <c r="F52" s="144">
        <v>4.641</v>
      </c>
      <c r="G52" s="144">
        <v>6.5289999999999999</v>
      </c>
      <c r="H52" s="5"/>
    </row>
    <row r="53" spans="1:8" x14ac:dyDescent="0.25">
      <c r="A53" s="26">
        <v>2054</v>
      </c>
      <c r="B53" s="144">
        <v>27.54</v>
      </c>
      <c r="C53" s="144">
        <v>7.9930000000000003</v>
      </c>
      <c r="D53" s="144">
        <v>5.9450000000000003</v>
      </c>
      <c r="E53" s="144">
        <v>2.302</v>
      </c>
      <c r="F53" s="144">
        <v>4.641</v>
      </c>
      <c r="G53" s="144">
        <v>6.6580000000000004</v>
      </c>
      <c r="H53" s="5"/>
    </row>
    <row r="54" spans="1:8" x14ac:dyDescent="0.25">
      <c r="A54" s="26">
        <v>2055</v>
      </c>
      <c r="B54" s="144">
        <v>27.733000000000001</v>
      </c>
      <c r="C54" s="144">
        <v>8.0399999999999991</v>
      </c>
      <c r="D54" s="144">
        <v>5.968</v>
      </c>
      <c r="E54" s="144">
        <v>2.294</v>
      </c>
      <c r="F54" s="144">
        <v>4.641</v>
      </c>
      <c r="G54" s="144">
        <v>6.79</v>
      </c>
      <c r="H54" s="5"/>
    </row>
    <row r="55" spans="1:8" x14ac:dyDescent="0.25">
      <c r="A55" s="26">
        <v>2056</v>
      </c>
      <c r="B55" s="144">
        <v>27.931999999999999</v>
      </c>
      <c r="C55" s="144">
        <v>8.0850000000000009</v>
      </c>
      <c r="D55" s="144">
        <v>5.9909999999999997</v>
      </c>
      <c r="E55" s="144">
        <v>2.2850000000000001</v>
      </c>
      <c r="F55" s="144">
        <v>4.641</v>
      </c>
      <c r="G55" s="144">
        <v>6.93</v>
      </c>
      <c r="H55" s="58"/>
    </row>
    <row r="56" spans="1:8" x14ac:dyDescent="0.25">
      <c r="A56" s="29"/>
      <c r="B56" s="116"/>
      <c r="C56" s="116"/>
      <c r="D56" s="116"/>
      <c r="E56" s="116"/>
      <c r="F56" s="116"/>
      <c r="G56" s="116"/>
    </row>
    <row r="57" spans="1:8" x14ac:dyDescent="0.25">
      <c r="B57" s="117"/>
    </row>
    <row r="58" spans="1:8" x14ac:dyDescent="0.25">
      <c r="A58" s="204" t="s">
        <v>66</v>
      </c>
      <c r="B58" s="204"/>
      <c r="C58" s="204"/>
      <c r="D58" s="204"/>
      <c r="E58" s="204"/>
      <c r="F58" s="204"/>
      <c r="G58" s="204"/>
    </row>
    <row r="59" spans="1:8" ht="61.5" customHeight="1" x14ac:dyDescent="0.25">
      <c r="A59" s="205" t="s">
        <v>67</v>
      </c>
      <c r="B59" s="205"/>
      <c r="C59" s="205"/>
      <c r="D59" s="205"/>
      <c r="E59" s="205"/>
      <c r="F59" s="205"/>
      <c r="G59" s="205"/>
    </row>
    <row r="60" spans="1:8" ht="54" customHeight="1" x14ac:dyDescent="0.25">
      <c r="A60" s="205" t="s">
        <v>68</v>
      </c>
      <c r="B60" s="205"/>
      <c r="C60" s="205"/>
      <c r="D60" s="205"/>
      <c r="E60" s="205"/>
      <c r="F60" s="205"/>
      <c r="G60" s="205"/>
    </row>
    <row r="61" spans="1:8" ht="13.5" customHeight="1" x14ac:dyDescent="0.25">
      <c r="A61" s="170"/>
      <c r="B61" s="170"/>
      <c r="C61" s="170"/>
      <c r="D61" s="170"/>
      <c r="E61" s="170"/>
      <c r="F61" s="170"/>
      <c r="G61" s="170"/>
    </row>
    <row r="62" spans="1:8" ht="13.5" customHeight="1" x14ac:dyDescent="0.25">
      <c r="A62" s="169"/>
      <c r="B62" s="169"/>
      <c r="C62" s="169"/>
      <c r="D62" s="169"/>
      <c r="E62" s="169"/>
      <c r="F62" s="169"/>
      <c r="G62" s="169"/>
    </row>
    <row r="63" spans="1:8" x14ac:dyDescent="0.25">
      <c r="A63" s="186" t="s">
        <v>23</v>
      </c>
      <c r="C63" s="117"/>
    </row>
    <row r="64" spans="1:8" x14ac:dyDescent="0.25">
      <c r="C64" s="117"/>
    </row>
  </sheetData>
  <mergeCells count="5">
    <mergeCell ref="A5:G5"/>
    <mergeCell ref="C8:E8"/>
    <mergeCell ref="A58:G58"/>
    <mergeCell ref="A59:G59"/>
    <mergeCell ref="A60:G60"/>
  </mergeCells>
  <hyperlinks>
    <hyperlink ref="A63" location="Contents!A1" display="Back to Table of Contents" xr:uid="{D751998B-01B9-4B60-8940-7CF6B0C1B547}"/>
    <hyperlink ref="A2" r:id="rId1" xr:uid="{60C3F199-2E09-5F46-8376-67A54FDE35CB}"/>
  </hyperlinks>
  <pageMargins left="0.7" right="0.7" top="0.75" bottom="0.75" header="0.3" footer="0.3"/>
  <pageSetup orientation="portrait" horizontalDpi="1200" verticalDpi="120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E2FB8-3741-49A7-8402-59B80B1F05EE}">
  <sheetPr codeName="Sheet9"/>
  <dimension ref="A1:I45"/>
  <sheetViews>
    <sheetView zoomScaleNormal="100" workbookViewId="0"/>
  </sheetViews>
  <sheetFormatPr defaultColWidth="8.44140625" defaultRowHeight="15" customHeight="1" x14ac:dyDescent="0.25"/>
  <cols>
    <col min="1" max="1" width="20.109375" style="16" customWidth="1"/>
    <col min="2" max="2" width="9.44140625" style="16" customWidth="1"/>
    <col min="3" max="3" width="13" style="16" customWidth="1"/>
    <col min="4" max="4" width="2.44140625" style="16" customWidth="1"/>
    <col min="5" max="5" width="13.44140625" style="16" customWidth="1"/>
    <col min="6" max="6" width="17.109375" style="16" customWidth="1"/>
    <col min="7" max="7" width="12" style="16" customWidth="1"/>
    <col min="8" max="8" width="15" style="16" customWidth="1"/>
    <col min="9" max="16384" width="8.44140625" style="16"/>
  </cols>
  <sheetData>
    <row r="1" spans="1:9" ht="14.4" x14ac:dyDescent="0.3">
      <c r="A1" s="24" t="s">
        <v>215</v>
      </c>
      <c r="B1" s="168"/>
      <c r="C1" s="168"/>
      <c r="D1" s="168"/>
      <c r="E1" s="168"/>
      <c r="F1" s="168"/>
      <c r="G1" s="168"/>
      <c r="H1" s="168"/>
    </row>
    <row r="2" spans="1:9" ht="13.8" x14ac:dyDescent="0.25">
      <c r="A2" s="186" t="s">
        <v>0</v>
      </c>
      <c r="B2" s="73"/>
      <c r="C2" s="73"/>
      <c r="D2" s="73"/>
      <c r="E2" s="168"/>
      <c r="F2" s="168"/>
      <c r="G2" s="168"/>
      <c r="H2" s="168"/>
    </row>
    <row r="3" spans="1:9" ht="13.8" x14ac:dyDescent="0.25">
      <c r="A3" s="168"/>
      <c r="B3" s="168"/>
      <c r="C3" s="168"/>
      <c r="D3" s="168"/>
      <c r="E3" s="168"/>
      <c r="F3" s="168"/>
      <c r="G3" s="168"/>
      <c r="H3" s="168"/>
    </row>
    <row r="4" spans="1:9" ht="13.8" x14ac:dyDescent="0.25">
      <c r="A4" s="168"/>
      <c r="B4" s="74"/>
      <c r="C4" s="74"/>
      <c r="D4" s="168"/>
      <c r="E4" s="168"/>
      <c r="F4" s="168"/>
      <c r="G4" s="168"/>
      <c r="H4" s="168"/>
    </row>
    <row r="5" spans="1:9" ht="30" customHeight="1" x14ac:dyDescent="0.25">
      <c r="A5" s="207" t="s">
        <v>146</v>
      </c>
      <c r="B5" s="207"/>
      <c r="C5" s="207"/>
      <c r="D5" s="207"/>
      <c r="E5" s="207"/>
      <c r="F5" s="207"/>
      <c r="G5" s="207"/>
      <c r="H5" s="207"/>
    </row>
    <row r="6" spans="1:9" ht="13.8" x14ac:dyDescent="0.25">
      <c r="A6" s="75" t="s">
        <v>34</v>
      </c>
      <c r="B6" s="75" t="s">
        <v>25</v>
      </c>
      <c r="C6" s="75" t="s">
        <v>25</v>
      </c>
      <c r="D6" s="75" t="s">
        <v>25</v>
      </c>
      <c r="E6" s="75" t="s">
        <v>25</v>
      </c>
      <c r="F6" s="75" t="s">
        <v>25</v>
      </c>
      <c r="G6" s="75" t="s">
        <v>25</v>
      </c>
      <c r="H6" s="75" t="s">
        <v>25</v>
      </c>
    </row>
    <row r="7" spans="1:9" ht="13.8" x14ac:dyDescent="0.25">
      <c r="A7" s="168"/>
      <c r="B7" s="168"/>
      <c r="C7" s="168"/>
      <c r="D7" s="168"/>
      <c r="E7" s="168"/>
      <c r="F7" s="168"/>
      <c r="G7" s="168"/>
      <c r="H7" s="168"/>
    </row>
    <row r="8" spans="1:9" ht="13.8" x14ac:dyDescent="0.25">
      <c r="A8" s="168"/>
      <c r="B8" s="206" t="s">
        <v>56</v>
      </c>
      <c r="C8" s="206"/>
      <c r="D8" s="168"/>
      <c r="E8" s="206" t="s">
        <v>69</v>
      </c>
      <c r="F8" s="206"/>
      <c r="G8" s="206"/>
      <c r="H8" s="206"/>
    </row>
    <row r="9" spans="1:9" ht="42" customHeight="1" x14ac:dyDescent="0.25">
      <c r="A9" s="76" t="s">
        <v>25</v>
      </c>
      <c r="B9" s="45" t="s">
        <v>14</v>
      </c>
      <c r="C9" s="45" t="s">
        <v>70</v>
      </c>
      <c r="D9" s="158"/>
      <c r="E9" s="45" t="s">
        <v>13</v>
      </c>
      <c r="F9" s="45" t="s">
        <v>71</v>
      </c>
      <c r="G9" s="45" t="s">
        <v>10</v>
      </c>
      <c r="H9" s="45" t="s">
        <v>72</v>
      </c>
    </row>
    <row r="10" spans="1:9" ht="13.8" x14ac:dyDescent="0.25">
      <c r="A10" s="24">
        <v>2026</v>
      </c>
      <c r="B10" s="2">
        <v>13.949</v>
      </c>
      <c r="C10" s="2">
        <v>86.051000000000002</v>
      </c>
      <c r="D10" s="131"/>
      <c r="E10" s="2">
        <v>29.335999999999999</v>
      </c>
      <c r="F10" s="2">
        <v>14.9</v>
      </c>
      <c r="G10" s="2">
        <v>25.991</v>
      </c>
      <c r="H10" s="2">
        <v>29.773</v>
      </c>
      <c r="I10" s="4"/>
    </row>
    <row r="11" spans="1:9" ht="13.8" x14ac:dyDescent="0.25">
      <c r="A11" s="24">
        <v>2056</v>
      </c>
      <c r="B11" s="2">
        <v>24.811</v>
      </c>
      <c r="C11" s="2">
        <v>75.188999999999993</v>
      </c>
      <c r="D11" s="131"/>
      <c r="E11" s="2">
        <v>22.097999999999999</v>
      </c>
      <c r="F11" s="2">
        <v>10.882</v>
      </c>
      <c r="G11" s="2">
        <v>28.524000000000001</v>
      </c>
      <c r="H11" s="2">
        <v>38.494999999999997</v>
      </c>
      <c r="I11" s="4"/>
    </row>
    <row r="12" spans="1:9" ht="13.8" x14ac:dyDescent="0.25">
      <c r="A12" s="25"/>
      <c r="B12" s="77"/>
      <c r="C12" s="77"/>
      <c r="D12" s="77"/>
      <c r="E12" s="77"/>
      <c r="F12" s="77"/>
      <c r="G12" s="77"/>
      <c r="H12" s="77"/>
    </row>
    <row r="13" spans="1:9" ht="13.8" x14ac:dyDescent="0.25">
      <c r="A13" s="168"/>
      <c r="B13" s="168"/>
      <c r="C13" s="168"/>
      <c r="D13" s="168"/>
      <c r="E13" s="167"/>
      <c r="F13" s="167"/>
      <c r="G13" s="167"/>
      <c r="H13" s="167"/>
    </row>
    <row r="14" spans="1:9" ht="13.8" x14ac:dyDescent="0.25">
      <c r="A14" s="197" t="s">
        <v>73</v>
      </c>
      <c r="B14" s="197"/>
      <c r="C14" s="197"/>
      <c r="D14" s="197"/>
      <c r="E14" s="197"/>
      <c r="F14" s="197"/>
      <c r="G14" s="197"/>
      <c r="H14" s="197"/>
    </row>
    <row r="15" spans="1:9" ht="54" customHeight="1" x14ac:dyDescent="0.25">
      <c r="A15" s="193" t="s">
        <v>74</v>
      </c>
      <c r="B15" s="193"/>
      <c r="C15" s="193"/>
      <c r="D15" s="193"/>
      <c r="E15" s="193"/>
      <c r="F15" s="193"/>
      <c r="G15" s="193"/>
      <c r="H15" s="193"/>
    </row>
    <row r="16" spans="1:9" ht="61.5" customHeight="1" x14ac:dyDescent="0.25">
      <c r="A16" s="208" t="s">
        <v>75</v>
      </c>
      <c r="B16" s="208"/>
      <c r="C16" s="208"/>
      <c r="D16" s="208"/>
      <c r="E16" s="208"/>
      <c r="F16" s="208"/>
      <c r="G16" s="208"/>
      <c r="H16" s="208"/>
    </row>
    <row r="17" spans="1:8" ht="15.75" customHeight="1" x14ac:dyDescent="0.25">
      <c r="A17" s="76"/>
      <c r="B17" s="76"/>
      <c r="C17" s="76"/>
      <c r="D17" s="76"/>
      <c r="E17" s="76"/>
      <c r="F17" s="76"/>
      <c r="G17" s="76"/>
      <c r="H17" s="76"/>
    </row>
    <row r="18" spans="1:8" ht="15.75" customHeight="1" x14ac:dyDescent="0.25">
      <c r="A18" s="167"/>
      <c r="B18" s="167"/>
      <c r="C18" s="167"/>
      <c r="D18" s="167"/>
      <c r="E18" s="167"/>
      <c r="F18" s="167"/>
      <c r="G18" s="167"/>
      <c r="H18" s="167"/>
    </row>
    <row r="19" spans="1:8" ht="13.8" x14ac:dyDescent="0.25">
      <c r="A19" s="186" t="s">
        <v>23</v>
      </c>
      <c r="B19" s="168"/>
      <c r="C19" s="168"/>
      <c r="D19" s="168"/>
      <c r="E19" s="178"/>
      <c r="F19" s="179"/>
      <c r="G19" s="179"/>
      <c r="H19" s="179"/>
    </row>
    <row r="20" spans="1:8" ht="13.8" x14ac:dyDescent="0.25">
      <c r="A20" s="168"/>
      <c r="B20" s="168"/>
      <c r="C20" s="168"/>
      <c r="D20" s="168"/>
      <c r="E20" s="179"/>
      <c r="F20" s="179"/>
      <c r="G20" s="179"/>
      <c r="H20" s="179"/>
    </row>
    <row r="21" spans="1:8" ht="13.8" x14ac:dyDescent="0.25">
      <c r="D21" s="24"/>
      <c r="E21" s="2"/>
      <c r="F21" s="2"/>
      <c r="G21" s="2"/>
      <c r="H21" s="2"/>
    </row>
    <row r="22" spans="1:8" ht="13.8" x14ac:dyDescent="0.25">
      <c r="D22" s="24"/>
      <c r="E22" s="2"/>
      <c r="F22" s="2"/>
      <c r="G22" s="2"/>
      <c r="H22" s="2"/>
    </row>
    <row r="23" spans="1:8" ht="13.8" x14ac:dyDescent="0.25"/>
    <row r="24" spans="1:8" ht="13.8" x14ac:dyDescent="0.25"/>
    <row r="25" spans="1:8" ht="13.8" x14ac:dyDescent="0.25"/>
    <row r="26" spans="1:8" ht="13.8" x14ac:dyDescent="0.25"/>
    <row r="27" spans="1:8" ht="13.8" x14ac:dyDescent="0.25"/>
    <row r="28" spans="1:8" ht="13.8" x14ac:dyDescent="0.25"/>
    <row r="29" spans="1:8" ht="13.8" x14ac:dyDescent="0.25"/>
    <row r="30" spans="1:8" ht="13.8" x14ac:dyDescent="0.25"/>
    <row r="31" spans="1:8" ht="13.8" x14ac:dyDescent="0.25"/>
    <row r="32" spans="1:8" ht="13.8" x14ac:dyDescent="0.25"/>
    <row r="33" s="16" customFormat="1" ht="13.8" x14ac:dyDescent="0.25"/>
    <row r="34" s="16" customFormat="1" ht="13.8" x14ac:dyDescent="0.25"/>
    <row r="35" s="16" customFormat="1" ht="13.8" x14ac:dyDescent="0.25"/>
    <row r="36" s="16" customFormat="1" ht="13.8" x14ac:dyDescent="0.25"/>
    <row r="37" s="16" customFormat="1" ht="13.8" x14ac:dyDescent="0.25"/>
    <row r="38" s="16" customFormat="1" ht="13.8" x14ac:dyDescent="0.25"/>
    <row r="39" s="16" customFormat="1" ht="13.8" x14ac:dyDescent="0.25"/>
    <row r="40" s="16" customFormat="1" ht="13.8" x14ac:dyDescent="0.25"/>
    <row r="41" s="16" customFormat="1" ht="13.8" x14ac:dyDescent="0.25"/>
    <row r="42" s="16" customFormat="1" ht="13.8" x14ac:dyDescent="0.25"/>
    <row r="43" s="16" customFormat="1" ht="13.8" x14ac:dyDescent="0.25"/>
    <row r="44" s="16" customFormat="1" ht="13.8" x14ac:dyDescent="0.25"/>
    <row r="45" s="16" customFormat="1" ht="13.8" x14ac:dyDescent="0.25"/>
  </sheetData>
  <mergeCells count="6">
    <mergeCell ref="B8:C8"/>
    <mergeCell ref="E8:H8"/>
    <mergeCell ref="A5:H5"/>
    <mergeCell ref="A15:H15"/>
    <mergeCell ref="A16:H16"/>
    <mergeCell ref="A14:H14"/>
  </mergeCells>
  <hyperlinks>
    <hyperlink ref="A19" location="Contents!A1" display="Back to Table of Contents" xr:uid="{F865D8CC-9535-4888-B2E5-47FA03BA6AD3}"/>
    <hyperlink ref="A2" r:id="rId1" xr:uid="{E1482358-5545-2A47-97F0-A5D4FA4AAEBA}"/>
  </hyperlinks>
  <pageMargins left="0.7" right="0.7" top="0.75" bottom="0.75" header="0.3" footer="0.3"/>
  <pageSetup orientation="portrait" horizontalDpi="1200" verticalDpi="120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0FAF7-3ACB-4664-A999-CAD1DCE4BA38}">
  <sheetPr codeName="Sheet10"/>
  <dimension ref="A1:D66"/>
  <sheetViews>
    <sheetView zoomScaleNormal="100" workbookViewId="0"/>
  </sheetViews>
  <sheetFormatPr defaultColWidth="9.109375" defaultRowHeight="13.8" x14ac:dyDescent="0.25"/>
  <cols>
    <col min="1" max="1" width="13.109375" style="19" customWidth="1"/>
    <col min="2" max="2" width="24.109375" style="89" customWidth="1"/>
    <col min="3" max="3" width="24.44140625" style="89" customWidth="1"/>
    <col min="4" max="4" width="9.109375" style="10"/>
    <col min="5" max="16384" width="9.109375" style="16"/>
  </cols>
  <sheetData>
    <row r="1" spans="1:4" ht="14.25" customHeight="1" x14ac:dyDescent="0.3">
      <c r="A1" s="24" t="s">
        <v>215</v>
      </c>
      <c r="B1" s="16"/>
      <c r="C1" s="16"/>
      <c r="D1" s="16"/>
    </row>
    <row r="2" spans="1:4" ht="14.25" customHeight="1" x14ac:dyDescent="0.25">
      <c r="A2" s="186" t="s">
        <v>0</v>
      </c>
      <c r="B2" s="6"/>
      <c r="C2" s="6"/>
      <c r="D2" s="6"/>
    </row>
    <row r="3" spans="1:4" ht="14.25" customHeight="1" x14ac:dyDescent="0.25">
      <c r="A3" s="16"/>
      <c r="B3" s="16"/>
      <c r="C3" s="16"/>
      <c r="D3" s="16"/>
    </row>
    <row r="4" spans="1:4" ht="15" customHeight="1" x14ac:dyDescent="0.25">
      <c r="B4" s="153"/>
      <c r="C4" s="153"/>
    </row>
    <row r="5" spans="1:4" ht="30" customHeight="1" x14ac:dyDescent="0.25">
      <c r="A5" s="194" t="s">
        <v>147</v>
      </c>
      <c r="B5" s="209"/>
      <c r="C5" s="209"/>
    </row>
    <row r="6" spans="1:4" ht="15" customHeight="1" x14ac:dyDescent="0.25">
      <c r="A6" s="19" t="s">
        <v>49</v>
      </c>
      <c r="B6" s="118"/>
      <c r="C6" s="1"/>
    </row>
    <row r="7" spans="1:4" ht="15" customHeight="1" x14ac:dyDescent="0.25">
      <c r="A7" s="8"/>
      <c r="B7" s="119"/>
      <c r="C7" s="120"/>
    </row>
    <row r="8" spans="1:4" s="9" customFormat="1" ht="45" customHeight="1" x14ac:dyDescent="0.25">
      <c r="A8" s="68"/>
      <c r="B8" s="107" t="s">
        <v>76</v>
      </c>
      <c r="C8" s="107" t="s">
        <v>172</v>
      </c>
      <c r="D8" s="71"/>
    </row>
    <row r="9" spans="1:4" ht="15" customHeight="1" x14ac:dyDescent="0.25">
      <c r="A9" s="19">
        <v>2011</v>
      </c>
      <c r="B9" s="35">
        <v>3.1030000000000002</v>
      </c>
      <c r="C9" s="35">
        <v>1.8340000000000001</v>
      </c>
    </row>
    <row r="10" spans="1:4" ht="15" customHeight="1" x14ac:dyDescent="0.25">
      <c r="A10" s="19">
        <v>2012</v>
      </c>
      <c r="B10" s="35">
        <v>2.8929999999999998</v>
      </c>
      <c r="C10" s="35">
        <v>1.613</v>
      </c>
    </row>
    <row r="11" spans="1:4" ht="15" customHeight="1" x14ac:dyDescent="0.25">
      <c r="A11" s="19">
        <v>2013</v>
      </c>
      <c r="B11" s="35">
        <v>2.9470000000000001</v>
      </c>
      <c r="C11" s="35">
        <v>1.653</v>
      </c>
    </row>
    <row r="12" spans="1:4" ht="15" customHeight="1" x14ac:dyDescent="0.25">
      <c r="A12" s="19">
        <v>2014</v>
      </c>
      <c r="B12" s="35">
        <v>2.899</v>
      </c>
      <c r="C12" s="35">
        <v>1.869</v>
      </c>
    </row>
    <row r="13" spans="1:4" ht="15" customHeight="1" x14ac:dyDescent="0.25">
      <c r="A13" s="19">
        <v>2015</v>
      </c>
      <c r="B13" s="35">
        <v>2.972</v>
      </c>
      <c r="C13" s="35">
        <v>2.1840000000000002</v>
      </c>
    </row>
    <row r="14" spans="1:4" ht="15" customHeight="1" x14ac:dyDescent="0.25">
      <c r="A14" s="19">
        <v>2016</v>
      </c>
      <c r="B14" s="35">
        <v>3.1560000000000001</v>
      </c>
      <c r="C14" s="35">
        <v>2.2759999999999998</v>
      </c>
    </row>
    <row r="15" spans="1:4" ht="15" customHeight="1" x14ac:dyDescent="0.25">
      <c r="A15" s="19">
        <v>2017</v>
      </c>
      <c r="B15" s="35">
        <v>3.052</v>
      </c>
      <c r="C15" s="35">
        <v>2.266</v>
      </c>
    </row>
    <row r="16" spans="1:4" ht="15" customHeight="1" x14ac:dyDescent="0.25">
      <c r="A16" s="19">
        <v>2018</v>
      </c>
      <c r="B16" s="35">
        <v>2.847</v>
      </c>
      <c r="C16" s="35">
        <v>2.23</v>
      </c>
    </row>
    <row r="17" spans="1:4" ht="15" customHeight="1" x14ac:dyDescent="0.25">
      <c r="A17" s="19">
        <v>2019</v>
      </c>
      <c r="B17" s="35">
        <v>3.0249999999999999</v>
      </c>
      <c r="C17" s="35">
        <v>2.2669999999999999</v>
      </c>
    </row>
    <row r="18" spans="1:4" ht="15" customHeight="1" x14ac:dyDescent="0.25">
      <c r="A18" s="19">
        <v>2020</v>
      </c>
      <c r="B18" s="35">
        <v>3.6040000000000001</v>
      </c>
      <c r="C18" s="35">
        <v>2.4969999999999999</v>
      </c>
    </row>
    <row r="19" spans="1:4" ht="15" customHeight="1" x14ac:dyDescent="0.25">
      <c r="A19" s="19">
        <v>2021</v>
      </c>
      <c r="B19" s="35">
        <v>2.9889999999999999</v>
      </c>
      <c r="C19" s="35">
        <v>2.64</v>
      </c>
    </row>
    <row r="20" spans="1:4" ht="15" customHeight="1" x14ac:dyDescent="0.25">
      <c r="A20" s="19">
        <v>2022</v>
      </c>
      <c r="B20" s="35">
        <v>2.923</v>
      </c>
      <c r="C20" s="35">
        <v>2.7170000000000001</v>
      </c>
    </row>
    <row r="21" spans="1:4" ht="15" customHeight="1" x14ac:dyDescent="0.25">
      <c r="A21" s="19">
        <v>2023</v>
      </c>
      <c r="B21" s="35">
        <v>3.0630000000000002</v>
      </c>
      <c r="C21" s="35">
        <v>2.6429999999999998</v>
      </c>
    </row>
    <row r="22" spans="1:4" x14ac:dyDescent="0.25">
      <c r="A22" s="19">
        <v>2024</v>
      </c>
      <c r="B22" s="35">
        <v>2.9889999999999999</v>
      </c>
      <c r="C22" s="35">
        <v>2.621</v>
      </c>
    </row>
    <row r="23" spans="1:4" ht="15" customHeight="1" x14ac:dyDescent="0.25">
      <c r="A23" s="160">
        <v>2025</v>
      </c>
      <c r="B23" s="35">
        <v>3.2559999999999998</v>
      </c>
      <c r="C23" s="35">
        <v>2.742</v>
      </c>
    </row>
    <row r="24" spans="1:4" ht="15" customHeight="1" x14ac:dyDescent="0.25">
      <c r="A24" s="19">
        <v>2026</v>
      </c>
      <c r="B24" s="146">
        <v>3.3319999999999999</v>
      </c>
      <c r="C24" s="146">
        <v>2.6499700000000002</v>
      </c>
      <c r="D24" s="80" t="s">
        <v>61</v>
      </c>
    </row>
    <row r="25" spans="1:4" ht="15" customHeight="1" x14ac:dyDescent="0.25">
      <c r="A25" s="19">
        <v>2027</v>
      </c>
      <c r="B25" s="35">
        <v>3.4220000000000002</v>
      </c>
      <c r="C25" s="35">
        <v>2.5369999999999999</v>
      </c>
      <c r="D25" s="72"/>
    </row>
    <row r="26" spans="1:4" ht="15" customHeight="1" x14ac:dyDescent="0.25">
      <c r="A26" s="19">
        <v>2028</v>
      </c>
      <c r="B26" s="35">
        <v>3.47</v>
      </c>
      <c r="C26" s="35">
        <v>2.4849999999999999</v>
      </c>
      <c r="D26" s="72"/>
    </row>
    <row r="27" spans="1:4" ht="15" customHeight="1" x14ac:dyDescent="0.25">
      <c r="A27" s="19">
        <v>2029</v>
      </c>
      <c r="B27" s="35">
        <v>3.57</v>
      </c>
      <c r="C27" s="35">
        <v>2.4279999999999999</v>
      </c>
      <c r="D27" s="72"/>
    </row>
    <row r="28" spans="1:4" ht="15" customHeight="1" x14ac:dyDescent="0.25">
      <c r="A28" s="19">
        <v>2030</v>
      </c>
      <c r="B28" s="35">
        <v>3.6269999999999998</v>
      </c>
      <c r="C28" s="35">
        <v>2.411</v>
      </c>
      <c r="D28" s="72"/>
    </row>
    <row r="29" spans="1:4" ht="15" customHeight="1" x14ac:dyDescent="0.25">
      <c r="A29" s="19">
        <v>2031</v>
      </c>
      <c r="B29" s="35">
        <v>3.702</v>
      </c>
      <c r="C29" s="35">
        <v>2.3969999999999998</v>
      </c>
      <c r="D29" s="72"/>
    </row>
    <row r="30" spans="1:4" ht="15" customHeight="1" x14ac:dyDescent="0.25">
      <c r="A30" s="19">
        <v>2032</v>
      </c>
      <c r="B30" s="35">
        <v>3.7890000000000001</v>
      </c>
      <c r="C30" s="35">
        <v>2.4060000000000001</v>
      </c>
      <c r="D30" s="72"/>
    </row>
    <row r="31" spans="1:4" ht="15" customHeight="1" x14ac:dyDescent="0.25">
      <c r="A31" s="19">
        <v>2033</v>
      </c>
      <c r="B31" s="35">
        <v>3.919</v>
      </c>
      <c r="C31" s="35">
        <v>2.4180000000000001</v>
      </c>
      <c r="D31" s="72"/>
    </row>
    <row r="32" spans="1:4" ht="15" customHeight="1" x14ac:dyDescent="0.25">
      <c r="A32" s="19">
        <v>2034</v>
      </c>
      <c r="B32" s="35">
        <v>4.0369999999999999</v>
      </c>
      <c r="C32" s="35">
        <v>2.4260000000000002</v>
      </c>
      <c r="D32" s="72"/>
    </row>
    <row r="33" spans="1:4" ht="15" customHeight="1" x14ac:dyDescent="0.25">
      <c r="A33" s="19">
        <v>2035</v>
      </c>
      <c r="B33" s="35">
        <v>4.1280000000000001</v>
      </c>
      <c r="C33" s="35">
        <v>2.4359999999999999</v>
      </c>
      <c r="D33" s="72"/>
    </row>
    <row r="34" spans="1:4" ht="15" customHeight="1" x14ac:dyDescent="0.25">
      <c r="A34" s="19">
        <v>2036</v>
      </c>
      <c r="B34" s="35">
        <v>4.2160000000000002</v>
      </c>
      <c r="C34" s="35">
        <v>2.452</v>
      </c>
      <c r="D34" s="72"/>
    </row>
    <row r="35" spans="1:4" ht="15" customHeight="1" x14ac:dyDescent="0.25">
      <c r="A35" s="19">
        <v>2037</v>
      </c>
      <c r="B35" s="35">
        <v>4.298</v>
      </c>
      <c r="C35" s="35">
        <v>2.4590000000000001</v>
      </c>
      <c r="D35" s="72"/>
    </row>
    <row r="36" spans="1:4" ht="15" customHeight="1" x14ac:dyDescent="0.25">
      <c r="A36" s="19">
        <v>2038</v>
      </c>
      <c r="B36" s="35">
        <v>4.3920000000000003</v>
      </c>
      <c r="C36" s="35">
        <v>2.4710000000000001</v>
      </c>
      <c r="D36" s="72"/>
    </row>
    <row r="37" spans="1:4" ht="15" customHeight="1" x14ac:dyDescent="0.25">
      <c r="A37" s="19">
        <v>2039</v>
      </c>
      <c r="B37" s="35">
        <v>4.484</v>
      </c>
      <c r="C37" s="35">
        <v>2.484</v>
      </c>
      <c r="D37" s="72"/>
    </row>
    <row r="38" spans="1:4" ht="15" customHeight="1" x14ac:dyDescent="0.25">
      <c r="A38" s="19">
        <v>2040</v>
      </c>
      <c r="B38" s="35">
        <v>4.5650000000000004</v>
      </c>
      <c r="C38" s="35">
        <v>2.496</v>
      </c>
      <c r="D38" s="72"/>
    </row>
    <row r="39" spans="1:4" ht="15" customHeight="1" x14ac:dyDescent="0.25">
      <c r="A39" s="19">
        <v>2041</v>
      </c>
      <c r="B39" s="35">
        <v>4.6520000000000001</v>
      </c>
      <c r="C39" s="35">
        <v>2.508</v>
      </c>
      <c r="D39" s="72"/>
    </row>
    <row r="40" spans="1:4" ht="15" customHeight="1" x14ac:dyDescent="0.25">
      <c r="A40" s="19">
        <v>2042</v>
      </c>
      <c r="B40" s="35">
        <v>4.7320000000000002</v>
      </c>
      <c r="C40" s="35">
        <v>2.52</v>
      </c>
      <c r="D40" s="72"/>
    </row>
    <row r="41" spans="1:4" ht="15" customHeight="1" x14ac:dyDescent="0.25">
      <c r="A41" s="19">
        <v>2043</v>
      </c>
      <c r="B41" s="35">
        <v>4.8049999999999997</v>
      </c>
      <c r="C41" s="35">
        <v>2.532</v>
      </c>
      <c r="D41" s="72"/>
    </row>
    <row r="42" spans="1:4" ht="15" customHeight="1" x14ac:dyDescent="0.25">
      <c r="A42" s="19">
        <v>2044</v>
      </c>
      <c r="B42" s="35">
        <v>4.8730000000000002</v>
      </c>
      <c r="C42" s="35">
        <v>2.5419999999999998</v>
      </c>
      <c r="D42" s="72"/>
    </row>
    <row r="43" spans="1:4" ht="15" customHeight="1" x14ac:dyDescent="0.25">
      <c r="A43" s="19">
        <v>2045</v>
      </c>
      <c r="B43" s="35">
        <v>4.9370000000000003</v>
      </c>
      <c r="C43" s="35">
        <v>2.5499999999999998</v>
      </c>
      <c r="D43" s="72"/>
    </row>
    <row r="44" spans="1:4" ht="15" customHeight="1" x14ac:dyDescent="0.25">
      <c r="A44" s="19">
        <v>2046</v>
      </c>
      <c r="B44" s="35">
        <v>5.0010000000000003</v>
      </c>
      <c r="C44" s="35">
        <v>2.5579999999999998</v>
      </c>
      <c r="D44" s="72"/>
    </row>
    <row r="45" spans="1:4" ht="15" customHeight="1" x14ac:dyDescent="0.25">
      <c r="A45" s="19">
        <v>2047</v>
      </c>
      <c r="B45" s="35">
        <v>5.056</v>
      </c>
      <c r="C45" s="35">
        <v>2.5680000000000001</v>
      </c>
      <c r="D45" s="72"/>
    </row>
    <row r="46" spans="1:4" ht="15" customHeight="1" x14ac:dyDescent="0.25">
      <c r="A46" s="19">
        <v>2048</v>
      </c>
      <c r="B46" s="35">
        <v>5.1120000000000001</v>
      </c>
      <c r="C46" s="35">
        <v>2.5750000000000002</v>
      </c>
      <c r="D46" s="72"/>
    </row>
    <row r="47" spans="1:4" ht="15" customHeight="1" x14ac:dyDescent="0.25">
      <c r="A47" s="19">
        <v>2049</v>
      </c>
      <c r="B47" s="35">
        <v>5.165</v>
      </c>
      <c r="C47" s="35">
        <v>2.5840000000000001</v>
      </c>
      <c r="D47" s="72"/>
    </row>
    <row r="48" spans="1:4" ht="15" customHeight="1" x14ac:dyDescent="0.25">
      <c r="A48" s="19">
        <v>2050</v>
      </c>
      <c r="B48" s="35">
        <v>5.2119999999999997</v>
      </c>
      <c r="C48" s="35">
        <v>2.5920000000000001</v>
      </c>
      <c r="D48" s="72"/>
    </row>
    <row r="49" spans="1:4" ht="15" customHeight="1" x14ac:dyDescent="0.25">
      <c r="A49" s="19">
        <v>2051</v>
      </c>
      <c r="B49" s="35">
        <v>5.2610000000000001</v>
      </c>
      <c r="C49" s="35">
        <v>2.597</v>
      </c>
      <c r="D49" s="72"/>
    </row>
    <row r="50" spans="1:4" ht="15" customHeight="1" x14ac:dyDescent="0.25">
      <c r="A50" s="19">
        <v>2052</v>
      </c>
      <c r="B50" s="35">
        <v>5.3029999999999999</v>
      </c>
      <c r="C50" s="35">
        <v>2.605</v>
      </c>
      <c r="D50" s="72"/>
    </row>
    <row r="51" spans="1:4" ht="15" customHeight="1" x14ac:dyDescent="0.25">
      <c r="A51" s="19">
        <v>2053</v>
      </c>
      <c r="B51" s="35">
        <v>5.3410000000000002</v>
      </c>
      <c r="C51" s="35">
        <v>2.6110000000000002</v>
      </c>
      <c r="D51" s="72"/>
    </row>
    <row r="52" spans="1:4" ht="15" customHeight="1" x14ac:dyDescent="0.25">
      <c r="A52" s="19">
        <v>2054</v>
      </c>
      <c r="B52" s="35">
        <v>5.3760000000000003</v>
      </c>
      <c r="C52" s="35">
        <v>2.617</v>
      </c>
      <c r="D52" s="72"/>
    </row>
    <row r="53" spans="1:4" ht="15" customHeight="1" x14ac:dyDescent="0.25">
      <c r="A53" s="19">
        <v>2055</v>
      </c>
      <c r="B53" s="35">
        <v>5.415</v>
      </c>
      <c r="C53" s="35">
        <v>2.625</v>
      </c>
      <c r="D53" s="72"/>
    </row>
    <row r="54" spans="1:4" ht="15" customHeight="1" x14ac:dyDescent="0.25">
      <c r="A54" s="19">
        <v>2056</v>
      </c>
      <c r="B54" s="35">
        <v>5.4539999999999997</v>
      </c>
      <c r="C54" s="35">
        <v>2.6309999999999998</v>
      </c>
      <c r="D54" s="72"/>
    </row>
    <row r="55" spans="1:4" ht="15" customHeight="1" x14ac:dyDescent="0.25">
      <c r="A55" s="160"/>
      <c r="B55" s="7"/>
      <c r="C55" s="163"/>
    </row>
    <row r="56" spans="1:4" ht="15" customHeight="1" x14ac:dyDescent="0.25">
      <c r="B56" s="20"/>
      <c r="C56" s="16"/>
    </row>
    <row r="57" spans="1:4" ht="15" customHeight="1" x14ac:dyDescent="0.25">
      <c r="A57" s="197" t="s">
        <v>26</v>
      </c>
      <c r="B57" s="197"/>
      <c r="C57" s="197"/>
    </row>
    <row r="58" spans="1:4" ht="36.75" customHeight="1" x14ac:dyDescent="0.25">
      <c r="A58" s="193" t="s">
        <v>186</v>
      </c>
      <c r="B58" s="193"/>
      <c r="C58" s="193"/>
    </row>
    <row r="59" spans="1:4" ht="25.5" customHeight="1" x14ac:dyDescent="0.25">
      <c r="A59" s="197" t="s">
        <v>77</v>
      </c>
      <c r="B59" s="197"/>
      <c r="C59" s="197"/>
    </row>
    <row r="60" spans="1:4" ht="93" customHeight="1" x14ac:dyDescent="0.25">
      <c r="A60" s="193" t="s">
        <v>78</v>
      </c>
      <c r="B60" s="193"/>
      <c r="C60" s="193"/>
    </row>
    <row r="61" spans="1:4" ht="15.75" customHeight="1" x14ac:dyDescent="0.25">
      <c r="A61" s="166"/>
      <c r="B61" s="166"/>
      <c r="C61" s="166"/>
    </row>
    <row r="62" spans="1:4" ht="15.75" customHeight="1" x14ac:dyDescent="0.25">
      <c r="A62" s="9"/>
      <c r="B62" s="9"/>
      <c r="C62" s="9"/>
    </row>
    <row r="63" spans="1:4" ht="15" customHeight="1" x14ac:dyDescent="0.25">
      <c r="A63" s="186" t="s">
        <v>23</v>
      </c>
    </row>
    <row r="65" spans="2:4" x14ac:dyDescent="0.25">
      <c r="B65" s="10"/>
      <c r="C65" s="16"/>
      <c r="D65" s="16"/>
    </row>
    <row r="66" spans="2:4" x14ac:dyDescent="0.25">
      <c r="B66" s="10"/>
      <c r="C66" s="16"/>
      <c r="D66" s="16"/>
    </row>
  </sheetData>
  <mergeCells count="5">
    <mergeCell ref="A5:C5"/>
    <mergeCell ref="A57:C57"/>
    <mergeCell ref="A58:C58"/>
    <mergeCell ref="A59:C59"/>
    <mergeCell ref="A60:C60"/>
  </mergeCells>
  <hyperlinks>
    <hyperlink ref="A63" location="Contents!A1" display="Back to Table of Contents" xr:uid="{C4E732BD-2418-43EE-ABC1-75E16A27DE52}"/>
    <hyperlink ref="A2" r:id="rId1" xr:uid="{6BF4EB9E-B68F-C64B-B2E0-99ECF8EDB2DA}"/>
  </hyperlinks>
  <pageMargins left="0.7" right="0.7" top="0.75" bottom="0.75" header="0.3" footer="0.3"/>
  <pageSetup orientation="portrait" horizontalDpi="1200" verticalDpi="1200"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F9AC2-3C47-4542-B196-5A5499410BAF}">
  <sheetPr codeName="Sheet11"/>
  <dimension ref="A1:E35"/>
  <sheetViews>
    <sheetView zoomScaleNormal="100" workbookViewId="0"/>
  </sheetViews>
  <sheetFormatPr defaultColWidth="37.44140625" defaultRowHeight="13.8" x14ac:dyDescent="0.25"/>
  <cols>
    <col min="1" max="1" width="37.44140625" style="16"/>
    <col min="2" max="2" width="25.109375" style="20" customWidth="1"/>
    <col min="3" max="5" width="15.44140625" style="20" customWidth="1"/>
    <col min="6" max="6" width="5.44140625" style="16" customWidth="1"/>
    <col min="7" max="16384" width="37.44140625" style="16"/>
  </cols>
  <sheetData>
    <row r="1" spans="1:5" ht="14.4" x14ac:dyDescent="0.3">
      <c r="A1" s="24" t="s">
        <v>215</v>
      </c>
    </row>
    <row r="2" spans="1:5" x14ac:dyDescent="0.25">
      <c r="A2" s="186" t="s">
        <v>0</v>
      </c>
    </row>
    <row r="4" spans="1:5" x14ac:dyDescent="0.25">
      <c r="A4" s="19"/>
    </row>
    <row r="5" spans="1:5" ht="30" customHeight="1" x14ac:dyDescent="0.25">
      <c r="A5" s="194" t="s">
        <v>148</v>
      </c>
      <c r="B5" s="194"/>
      <c r="C5" s="194"/>
      <c r="D5" s="194"/>
      <c r="E5" s="194"/>
    </row>
    <row r="6" spans="1:5" ht="15" customHeight="1" x14ac:dyDescent="0.25">
      <c r="A6" s="160" t="s">
        <v>49</v>
      </c>
      <c r="B6" s="31"/>
      <c r="C6" s="31"/>
      <c r="D6" s="31"/>
      <c r="E6" s="163"/>
    </row>
    <row r="7" spans="1:5" x14ac:dyDescent="0.25">
      <c r="A7" s="153"/>
    </row>
    <row r="8" spans="1:5" ht="70.5" customHeight="1" x14ac:dyDescent="0.25">
      <c r="A8" s="21"/>
      <c r="B8" s="45" t="s">
        <v>79</v>
      </c>
      <c r="C8" s="45" t="s">
        <v>80</v>
      </c>
      <c r="D8" s="45" t="s">
        <v>81</v>
      </c>
      <c r="E8" s="164" t="s">
        <v>7</v>
      </c>
    </row>
    <row r="9" spans="1:5" ht="14.25" customHeight="1" x14ac:dyDescent="0.25">
      <c r="A9" s="16" t="s">
        <v>82</v>
      </c>
      <c r="B9" s="34"/>
      <c r="C9" s="34"/>
      <c r="D9" s="34"/>
      <c r="E9" s="33"/>
    </row>
    <row r="10" spans="1:5" x14ac:dyDescent="0.25">
      <c r="A10" s="49">
        <v>2026</v>
      </c>
      <c r="B10" s="35">
        <v>6.6840000000000002</v>
      </c>
      <c r="C10" s="41" t="s">
        <v>83</v>
      </c>
      <c r="D10" s="41" t="s">
        <v>83</v>
      </c>
      <c r="E10" s="35">
        <v>6.6840000000000002</v>
      </c>
    </row>
    <row r="11" spans="1:5" x14ac:dyDescent="0.25">
      <c r="A11" s="49">
        <v>2056</v>
      </c>
      <c r="B11" s="35">
        <v>6.476</v>
      </c>
      <c r="C11" s="35">
        <v>1.373</v>
      </c>
      <c r="D11" s="35">
        <v>1.669</v>
      </c>
      <c r="E11" s="35">
        <v>9.5180000000000007</v>
      </c>
    </row>
    <row r="12" spans="1:5" x14ac:dyDescent="0.25">
      <c r="A12" s="19"/>
    </row>
    <row r="13" spans="1:5" x14ac:dyDescent="0.25">
      <c r="A13" s="19" t="s">
        <v>10</v>
      </c>
      <c r="B13" s="211"/>
      <c r="C13" s="211"/>
      <c r="D13" s="211"/>
      <c r="E13" s="211"/>
    </row>
    <row r="14" spans="1:5" x14ac:dyDescent="0.25">
      <c r="A14" s="49">
        <v>2026</v>
      </c>
      <c r="B14" s="35">
        <v>5.2220000000000004</v>
      </c>
      <c r="C14" s="41" t="s">
        <v>83</v>
      </c>
      <c r="D14" s="41" t="s">
        <v>83</v>
      </c>
      <c r="E14" s="35">
        <v>5.2220000000000004</v>
      </c>
    </row>
    <row r="15" spans="1:5" ht="14.25" customHeight="1" x14ac:dyDescent="0.25">
      <c r="A15" s="49">
        <v>2056</v>
      </c>
      <c r="B15" s="35">
        <v>4.78</v>
      </c>
      <c r="C15" s="35">
        <v>1.2110000000000001</v>
      </c>
      <c r="D15" s="41" t="s">
        <v>83</v>
      </c>
      <c r="E15" s="35">
        <v>5.9909999999999997</v>
      </c>
    </row>
    <row r="16" spans="1:5" x14ac:dyDescent="0.25">
      <c r="A16" s="21"/>
      <c r="B16" s="30"/>
      <c r="C16" s="30"/>
      <c r="D16" s="163"/>
      <c r="E16" s="163"/>
    </row>
    <row r="17" spans="1:5" ht="15" customHeight="1" x14ac:dyDescent="0.25"/>
    <row r="18" spans="1:5" ht="14.25" customHeight="1" x14ac:dyDescent="0.25">
      <c r="A18" s="197" t="s">
        <v>26</v>
      </c>
      <c r="B18" s="197"/>
      <c r="C18" s="197"/>
      <c r="D18" s="197"/>
      <c r="E18" s="197"/>
    </row>
    <row r="19" spans="1:5" ht="14.25" customHeight="1" x14ac:dyDescent="0.25">
      <c r="B19" s="16"/>
      <c r="C19" s="16"/>
      <c r="D19" s="16"/>
      <c r="E19" s="16"/>
    </row>
    <row r="20" spans="1:5" ht="90" customHeight="1" x14ac:dyDescent="0.25">
      <c r="A20" s="193" t="s">
        <v>84</v>
      </c>
      <c r="B20" s="193"/>
      <c r="C20" s="193"/>
      <c r="D20" s="193"/>
      <c r="E20" s="193"/>
    </row>
    <row r="21" spans="1:5" ht="53.25" customHeight="1" x14ac:dyDescent="0.25">
      <c r="A21" s="193" t="s">
        <v>85</v>
      </c>
      <c r="B21" s="193"/>
      <c r="C21" s="193"/>
      <c r="D21" s="193"/>
      <c r="E21" s="193"/>
    </row>
    <row r="22" spans="1:5" ht="15" customHeight="1" x14ac:dyDescent="0.25">
      <c r="A22" s="9"/>
      <c r="B22" s="9"/>
      <c r="C22" s="9"/>
      <c r="D22" s="9"/>
      <c r="E22" s="9"/>
    </row>
    <row r="23" spans="1:5" ht="15" customHeight="1" x14ac:dyDescent="0.25">
      <c r="A23" s="9" t="s">
        <v>173</v>
      </c>
      <c r="B23" s="9"/>
      <c r="C23" s="9"/>
      <c r="D23" s="9"/>
      <c r="E23" s="9"/>
    </row>
    <row r="24" spans="1:5" ht="15" customHeight="1" x14ac:dyDescent="0.25">
      <c r="A24" s="21"/>
      <c r="B24" s="21"/>
      <c r="C24" s="21"/>
      <c r="D24" s="21"/>
      <c r="E24" s="21"/>
    </row>
    <row r="25" spans="1:5" ht="15" customHeight="1" x14ac:dyDescent="0.25">
      <c r="B25" s="16"/>
      <c r="C25" s="16"/>
      <c r="D25" s="16"/>
      <c r="E25" s="16"/>
    </row>
    <row r="26" spans="1:5" x14ac:dyDescent="0.25">
      <c r="A26" s="210" t="s">
        <v>23</v>
      </c>
      <c r="B26" s="210"/>
      <c r="C26" s="210"/>
      <c r="D26" s="210"/>
      <c r="E26" s="210"/>
    </row>
    <row r="27" spans="1:5" x14ac:dyDescent="0.25">
      <c r="B27" s="16"/>
      <c r="C27" s="16"/>
      <c r="D27" s="16"/>
      <c r="E27" s="16"/>
    </row>
    <row r="28" spans="1:5" x14ac:dyDescent="0.25">
      <c r="B28" s="16"/>
      <c r="C28" s="16"/>
      <c r="D28" s="16"/>
      <c r="E28" s="16"/>
    </row>
    <row r="29" spans="1:5" x14ac:dyDescent="0.25">
      <c r="B29" s="16"/>
      <c r="C29" s="16"/>
      <c r="D29" s="16"/>
      <c r="E29" s="16"/>
    </row>
    <row r="30" spans="1:5" ht="14.25" customHeight="1" x14ac:dyDescent="0.25">
      <c r="B30" s="16"/>
      <c r="C30" s="16"/>
      <c r="D30" s="16"/>
      <c r="E30" s="16"/>
    </row>
    <row r="31" spans="1:5" ht="14.25" customHeight="1" x14ac:dyDescent="0.25">
      <c r="B31" s="16"/>
      <c r="C31" s="16"/>
      <c r="D31" s="16"/>
      <c r="E31" s="16"/>
    </row>
    <row r="32" spans="1:5" ht="14.25" customHeight="1" x14ac:dyDescent="0.25">
      <c r="B32" s="16"/>
      <c r="C32" s="16"/>
      <c r="D32" s="16"/>
      <c r="E32" s="16"/>
    </row>
    <row r="33" s="16" customFormat="1" x14ac:dyDescent="0.25"/>
    <row r="34" s="16" customFormat="1" x14ac:dyDescent="0.25"/>
    <row r="35" s="16" customFormat="1" x14ac:dyDescent="0.25"/>
  </sheetData>
  <mergeCells count="6">
    <mergeCell ref="A26:E26"/>
    <mergeCell ref="B13:E13"/>
    <mergeCell ref="A5:E5"/>
    <mergeCell ref="A18:E18"/>
    <mergeCell ref="A20:E20"/>
    <mergeCell ref="A21:E21"/>
  </mergeCells>
  <hyperlinks>
    <hyperlink ref="A26" location="Contents!A1" display="Back to Table of Contents" xr:uid="{DA88B2CE-E757-0E4A-8F0C-3333E9F7ED98}"/>
    <hyperlink ref="A2" r:id="rId1" xr:uid="{2903298C-14AA-184D-87A9-06379B02B4F6}"/>
  </hyperlinks>
  <pageMargins left="0.7" right="0.7" top="0.75" bottom="0.75" header="0.3" footer="0.3"/>
  <pageSetup orientation="portrait" horizontalDpi="1200" verticalDpi="120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2FAF7-2837-5E48-8777-E598CBB203EA}">
  <sheetPr codeName="Sheet12"/>
  <dimension ref="A1:O98"/>
  <sheetViews>
    <sheetView zoomScaleNormal="100" workbookViewId="0"/>
  </sheetViews>
  <sheetFormatPr defaultColWidth="10.44140625" defaultRowHeight="13.8" x14ac:dyDescent="0.25"/>
  <cols>
    <col min="1" max="1" width="10.44140625" style="19"/>
    <col min="2" max="2" width="10.44140625" style="20"/>
    <col min="3" max="3" width="12.44140625" style="20" customWidth="1"/>
    <col min="4" max="4" width="10.44140625" style="20"/>
    <col min="5" max="6" width="12.44140625" style="20" customWidth="1"/>
    <col min="7" max="7" width="10.44140625" style="20"/>
    <col min="8" max="16384" width="10.44140625" style="16"/>
  </cols>
  <sheetData>
    <row r="1" spans="1:8" ht="14.25" customHeight="1" x14ac:dyDescent="0.3">
      <c r="A1" s="24" t="s">
        <v>215</v>
      </c>
      <c r="B1" s="16"/>
      <c r="C1" s="16"/>
      <c r="D1" s="16"/>
      <c r="E1" s="16"/>
      <c r="F1" s="16"/>
      <c r="G1" s="16"/>
    </row>
    <row r="2" spans="1:8" ht="14.25" customHeight="1" x14ac:dyDescent="0.25">
      <c r="A2" s="186" t="s">
        <v>0</v>
      </c>
      <c r="B2" s="16"/>
      <c r="C2" s="16"/>
      <c r="D2" s="16"/>
      <c r="E2" s="16"/>
      <c r="F2" s="16"/>
      <c r="G2" s="16"/>
    </row>
    <row r="3" spans="1:8" ht="14.25" customHeight="1" x14ac:dyDescent="0.25">
      <c r="A3" s="16"/>
      <c r="B3" s="16"/>
      <c r="C3" s="16"/>
      <c r="D3" s="16"/>
      <c r="E3" s="16"/>
      <c r="F3" s="16"/>
      <c r="G3" s="16"/>
    </row>
    <row r="4" spans="1:8" ht="15" customHeight="1" x14ac:dyDescent="0.25">
      <c r="B4" s="159"/>
    </row>
    <row r="5" spans="1:8" ht="30" customHeight="1" x14ac:dyDescent="0.25">
      <c r="A5" s="212" t="s">
        <v>149</v>
      </c>
      <c r="B5" s="212"/>
      <c r="C5" s="212"/>
      <c r="D5" s="212"/>
      <c r="E5" s="212"/>
      <c r="F5" s="212"/>
      <c r="G5" s="212"/>
    </row>
    <row r="6" spans="1:8" ht="15" customHeight="1" x14ac:dyDescent="0.25">
      <c r="A6" s="213" t="s">
        <v>49</v>
      </c>
      <c r="B6" s="213"/>
      <c r="C6" s="213"/>
      <c r="D6" s="213"/>
      <c r="E6" s="213"/>
      <c r="F6" s="213"/>
      <c r="G6" s="213"/>
    </row>
    <row r="8" spans="1:8" ht="46.05" customHeight="1" x14ac:dyDescent="0.25">
      <c r="A8" s="160"/>
      <c r="B8" s="163" t="s">
        <v>7</v>
      </c>
      <c r="C8" s="70" t="s">
        <v>4</v>
      </c>
      <c r="D8" s="70" t="s">
        <v>5</v>
      </c>
      <c r="E8" s="70" t="s">
        <v>6</v>
      </c>
      <c r="F8" s="70" t="s">
        <v>191</v>
      </c>
      <c r="G8" s="70" t="s">
        <v>65</v>
      </c>
    </row>
    <row r="9" spans="1:8" ht="15" customHeight="1" x14ac:dyDescent="0.25">
      <c r="A9" s="19">
        <v>2011</v>
      </c>
      <c r="B9" s="43">
        <v>14.893000000000001</v>
      </c>
      <c r="C9" s="43">
        <v>7.0570000000000004</v>
      </c>
      <c r="D9" s="43">
        <v>5.2939999999999996</v>
      </c>
      <c r="E9" s="43">
        <v>1.171</v>
      </c>
      <c r="F9" s="43">
        <v>0.191</v>
      </c>
      <c r="G9" s="43">
        <v>1.181</v>
      </c>
      <c r="H9" s="13"/>
    </row>
    <row r="10" spans="1:8" ht="15" customHeight="1" x14ac:dyDescent="0.25">
      <c r="A10" s="19">
        <v>2012</v>
      </c>
      <c r="B10" s="43">
        <v>15.208</v>
      </c>
      <c r="C10" s="43">
        <v>7.0279999999999996</v>
      </c>
      <c r="D10" s="43">
        <v>5.2469999999999999</v>
      </c>
      <c r="E10" s="43">
        <v>1.504</v>
      </c>
      <c r="F10" s="43">
        <v>0.188</v>
      </c>
      <c r="G10" s="43">
        <v>1.2410000000000001</v>
      </c>
      <c r="H10" s="13"/>
    </row>
    <row r="11" spans="1:8" ht="15" customHeight="1" x14ac:dyDescent="0.25">
      <c r="A11" s="19">
        <v>2013</v>
      </c>
      <c r="B11" s="43">
        <v>16.63</v>
      </c>
      <c r="C11" s="43">
        <v>7.8879999999999999</v>
      </c>
      <c r="D11" s="43">
        <v>5.68</v>
      </c>
      <c r="E11" s="43">
        <v>1.639</v>
      </c>
      <c r="F11" s="43">
        <v>0.191</v>
      </c>
      <c r="G11" s="43">
        <v>1.232</v>
      </c>
      <c r="H11" s="13"/>
    </row>
    <row r="12" spans="1:8" ht="15" customHeight="1" x14ac:dyDescent="0.25">
      <c r="A12" s="19">
        <v>2014</v>
      </c>
      <c r="B12" s="43">
        <v>17.337</v>
      </c>
      <c r="C12" s="43">
        <v>8.0020000000000007</v>
      </c>
      <c r="D12" s="43">
        <v>5.8719999999999999</v>
      </c>
      <c r="E12" s="43">
        <v>1.84</v>
      </c>
      <c r="F12" s="43">
        <v>0.19500000000000001</v>
      </c>
      <c r="G12" s="43">
        <v>1.4279999999999999</v>
      </c>
      <c r="H12" s="13"/>
    </row>
    <row r="13" spans="1:8" ht="15" customHeight="1" x14ac:dyDescent="0.25">
      <c r="A13" s="19">
        <v>2015</v>
      </c>
      <c r="B13" s="43">
        <v>17.891999999999999</v>
      </c>
      <c r="C13" s="43">
        <v>8.4830000000000005</v>
      </c>
      <c r="D13" s="43">
        <v>5.8650000000000002</v>
      </c>
      <c r="E13" s="43">
        <v>1.893</v>
      </c>
      <c r="F13" s="43">
        <v>0.193</v>
      </c>
      <c r="G13" s="43">
        <v>1.4590000000000001</v>
      </c>
      <c r="H13" s="13"/>
    </row>
    <row r="14" spans="1:8" ht="15" customHeight="1" x14ac:dyDescent="0.25">
      <c r="A14" s="19">
        <v>2016</v>
      </c>
      <c r="B14" s="43">
        <v>17.530999999999999</v>
      </c>
      <c r="C14" s="43">
        <v>8.2940000000000005</v>
      </c>
      <c r="D14" s="43">
        <v>5.9820000000000002</v>
      </c>
      <c r="E14" s="43">
        <v>1.607</v>
      </c>
      <c r="F14" s="43">
        <v>0.187</v>
      </c>
      <c r="G14" s="43">
        <v>1.4610000000000001</v>
      </c>
      <c r="H14" s="13"/>
    </row>
    <row r="15" spans="1:8" ht="15" customHeight="1" x14ac:dyDescent="0.25">
      <c r="A15" s="19">
        <v>2017</v>
      </c>
      <c r="B15" s="43">
        <v>17.116</v>
      </c>
      <c r="C15" s="43">
        <v>8.1920000000000002</v>
      </c>
      <c r="D15" s="43">
        <v>5.9969999999999999</v>
      </c>
      <c r="E15" s="43">
        <v>1.5329999999999999</v>
      </c>
      <c r="F15" s="43">
        <v>0.17799999999999999</v>
      </c>
      <c r="G15" s="43">
        <v>1.216</v>
      </c>
      <c r="H15" s="13"/>
    </row>
    <row r="16" spans="1:8" ht="15" customHeight="1" x14ac:dyDescent="0.25">
      <c r="A16" s="19">
        <v>2018</v>
      </c>
      <c r="B16" s="43">
        <v>16.294</v>
      </c>
      <c r="C16" s="43">
        <v>8.2379999999999995</v>
      </c>
      <c r="D16" s="43">
        <v>5.7290000000000001</v>
      </c>
      <c r="E16" s="43">
        <v>1.002</v>
      </c>
      <c r="F16" s="43">
        <v>0.20200000000000001</v>
      </c>
      <c r="G16" s="43">
        <v>1.1240000000000001</v>
      </c>
      <c r="H16" s="13"/>
    </row>
    <row r="17" spans="1:15" ht="15" customHeight="1" x14ac:dyDescent="0.25">
      <c r="A17" s="19">
        <v>2019</v>
      </c>
      <c r="B17" s="43">
        <v>16.271000000000001</v>
      </c>
      <c r="C17" s="43">
        <v>8.07</v>
      </c>
      <c r="D17" s="43">
        <v>5.84</v>
      </c>
      <c r="E17" s="43">
        <v>1.0820000000000001</v>
      </c>
      <c r="F17" s="43">
        <v>0.33300000000000002</v>
      </c>
      <c r="G17" s="43">
        <v>0.94599999999999995</v>
      </c>
      <c r="H17" s="13"/>
    </row>
    <row r="18" spans="1:15" ht="15" customHeight="1" x14ac:dyDescent="0.25">
      <c r="A18" s="19">
        <v>2020</v>
      </c>
      <c r="B18" s="43">
        <v>16.033999999999999</v>
      </c>
      <c r="C18" s="43">
        <v>7.5389999999999997</v>
      </c>
      <c r="D18" s="43">
        <v>6.1390000000000002</v>
      </c>
      <c r="E18" s="43">
        <v>0.99299999999999999</v>
      </c>
      <c r="F18" s="43">
        <v>0.32100000000000001</v>
      </c>
      <c r="G18" s="43">
        <v>1.0409999999999999</v>
      </c>
      <c r="H18" s="13"/>
    </row>
    <row r="19" spans="1:15" ht="15" customHeight="1" x14ac:dyDescent="0.25">
      <c r="A19" s="19">
        <v>2021</v>
      </c>
      <c r="B19" s="43">
        <v>17.562000000000001</v>
      </c>
      <c r="C19" s="43">
        <v>8.8719999999999999</v>
      </c>
      <c r="D19" s="43">
        <v>5.7030000000000003</v>
      </c>
      <c r="E19" s="43">
        <v>1.6140000000000001</v>
      </c>
      <c r="F19" s="43">
        <v>0.34699999999999998</v>
      </c>
      <c r="G19" s="43">
        <v>1.028</v>
      </c>
      <c r="H19" s="13"/>
    </row>
    <row r="20" spans="1:15" ht="15" customHeight="1" x14ac:dyDescent="0.25">
      <c r="A20" s="19">
        <v>2022</v>
      </c>
      <c r="B20" s="43">
        <v>19.155999999999999</v>
      </c>
      <c r="C20" s="43">
        <v>10.295999999999999</v>
      </c>
      <c r="D20" s="43">
        <v>5.8029999999999999</v>
      </c>
      <c r="E20" s="43">
        <v>1.6619999999999999</v>
      </c>
      <c r="F20" s="43">
        <v>0.39100000000000001</v>
      </c>
      <c r="G20" s="43">
        <v>1.0049999999999999</v>
      </c>
      <c r="H20" s="13"/>
    </row>
    <row r="21" spans="1:15" ht="15" customHeight="1" x14ac:dyDescent="0.25">
      <c r="A21" s="19">
        <v>2023</v>
      </c>
      <c r="B21" s="43">
        <v>16.209</v>
      </c>
      <c r="C21" s="43">
        <v>7.944</v>
      </c>
      <c r="D21" s="43">
        <v>5.8929999999999998</v>
      </c>
      <c r="E21" s="43">
        <v>1.5309999999999999</v>
      </c>
      <c r="F21" s="43">
        <v>0.29299999999999998</v>
      </c>
      <c r="G21" s="43">
        <v>0.54800000000000004</v>
      </c>
      <c r="H21" s="13"/>
    </row>
    <row r="22" spans="1:15" ht="15" customHeight="1" x14ac:dyDescent="0.25">
      <c r="A22" s="19">
        <v>2024</v>
      </c>
      <c r="B22" s="43">
        <v>16.995999999999999</v>
      </c>
      <c r="C22" s="43">
        <v>8.3810000000000002</v>
      </c>
      <c r="D22" s="43">
        <v>5.9029999999999996</v>
      </c>
      <c r="E22" s="43">
        <v>1.83</v>
      </c>
      <c r="F22" s="43">
        <v>0.26600000000000001</v>
      </c>
      <c r="G22" s="43">
        <v>0.61499999999999999</v>
      </c>
      <c r="H22" s="13"/>
    </row>
    <row r="23" spans="1:15" ht="15" customHeight="1" x14ac:dyDescent="0.25">
      <c r="A23" s="160">
        <v>2025</v>
      </c>
      <c r="B23" s="7">
        <v>17.241</v>
      </c>
      <c r="C23" s="7">
        <v>8.7479999999999993</v>
      </c>
      <c r="D23" s="7">
        <v>5.758</v>
      </c>
      <c r="E23" s="7">
        <v>1.4890000000000001</v>
      </c>
      <c r="F23" s="7">
        <v>0.64200000000000002</v>
      </c>
      <c r="G23" s="7">
        <v>0.60399999999999998</v>
      </c>
      <c r="J23" s="13"/>
      <c r="K23" s="43"/>
      <c r="L23" s="43"/>
      <c r="M23" s="43"/>
      <c r="N23" s="43"/>
      <c r="O23" s="43"/>
    </row>
    <row r="24" spans="1:15" ht="15" customHeight="1" x14ac:dyDescent="0.25">
      <c r="A24" s="19">
        <v>2026</v>
      </c>
      <c r="B24" s="43">
        <v>17.541</v>
      </c>
      <c r="C24" s="43">
        <v>8.6240000000000006</v>
      </c>
      <c r="D24" s="43">
        <v>5.7220000000000004</v>
      </c>
      <c r="E24" s="43">
        <v>1.266</v>
      </c>
      <c r="F24" s="43">
        <v>1.3109999999999999</v>
      </c>
      <c r="G24" s="43">
        <v>0.61699999999999999</v>
      </c>
      <c r="H24" s="88" t="s">
        <v>61</v>
      </c>
      <c r="J24" s="13"/>
      <c r="K24" s="43"/>
      <c r="L24" s="43"/>
      <c r="M24" s="43"/>
      <c r="N24" s="43"/>
      <c r="O24" s="43"/>
    </row>
    <row r="25" spans="1:15" ht="15" customHeight="1" x14ac:dyDescent="0.25">
      <c r="A25" s="19">
        <v>2027</v>
      </c>
      <c r="B25" s="43">
        <v>17.664999999999999</v>
      </c>
      <c r="C25" s="43">
        <v>8.8460000000000001</v>
      </c>
      <c r="D25" s="43">
        <v>5.6929999999999996</v>
      </c>
      <c r="E25" s="43">
        <v>1.2589999999999999</v>
      </c>
      <c r="F25" s="43">
        <v>1.264</v>
      </c>
      <c r="G25" s="43">
        <v>0.60399999999999998</v>
      </c>
      <c r="H25" s="13"/>
      <c r="J25" s="13"/>
      <c r="K25" s="43"/>
      <c r="L25" s="43"/>
      <c r="M25" s="43"/>
      <c r="N25" s="43"/>
      <c r="O25" s="43"/>
    </row>
    <row r="26" spans="1:15" ht="15" customHeight="1" x14ac:dyDescent="0.25">
      <c r="A26" s="19">
        <v>2028</v>
      </c>
      <c r="B26" s="43">
        <v>17.513999999999999</v>
      </c>
      <c r="C26" s="43">
        <v>8.7810000000000006</v>
      </c>
      <c r="D26" s="43">
        <v>5.6829999999999998</v>
      </c>
      <c r="E26" s="43">
        <v>1.248</v>
      </c>
      <c r="F26" s="43">
        <v>1.222</v>
      </c>
      <c r="G26" s="43">
        <v>0.57999999999999996</v>
      </c>
      <c r="H26" s="13"/>
      <c r="J26" s="13"/>
      <c r="K26" s="43"/>
      <c r="L26" s="43"/>
      <c r="M26" s="43"/>
      <c r="N26" s="43"/>
      <c r="O26" s="43"/>
    </row>
    <row r="27" spans="1:15" ht="15" customHeight="1" x14ac:dyDescent="0.25">
      <c r="A27" s="19">
        <v>2029</v>
      </c>
      <c r="B27" s="43">
        <v>17.55</v>
      </c>
      <c r="C27" s="43">
        <v>8.8680000000000003</v>
      </c>
      <c r="D27" s="43">
        <v>5.6890000000000001</v>
      </c>
      <c r="E27" s="43">
        <v>1.254</v>
      </c>
      <c r="F27" s="43">
        <v>1.159</v>
      </c>
      <c r="G27" s="43">
        <v>0.57999999999999996</v>
      </c>
      <c r="H27" s="13"/>
      <c r="J27" s="13"/>
      <c r="K27" s="43"/>
      <c r="L27" s="43"/>
      <c r="M27" s="43"/>
      <c r="N27" s="43"/>
      <c r="O27" s="43"/>
    </row>
    <row r="28" spans="1:15" ht="15" customHeight="1" x14ac:dyDescent="0.25">
      <c r="A28" s="19">
        <v>2030</v>
      </c>
      <c r="B28" s="43">
        <v>17.638000000000002</v>
      </c>
      <c r="C28" s="43">
        <v>8.93</v>
      </c>
      <c r="D28" s="43">
        <v>5.7009999999999996</v>
      </c>
      <c r="E28" s="43">
        <v>1.2769999999999999</v>
      </c>
      <c r="F28" s="43">
        <v>1.103</v>
      </c>
      <c r="G28" s="43">
        <v>0.628</v>
      </c>
      <c r="H28" s="13"/>
      <c r="J28" s="13"/>
      <c r="K28" s="43"/>
      <c r="L28" s="43"/>
      <c r="M28" s="43"/>
      <c r="N28" s="43"/>
      <c r="O28" s="43"/>
    </row>
    <row r="29" spans="1:15" ht="15" customHeight="1" x14ac:dyDescent="0.25">
      <c r="A29" s="19">
        <v>2031</v>
      </c>
      <c r="B29" s="43">
        <v>17.699000000000002</v>
      </c>
      <c r="C29" s="43">
        <v>8.9169999999999998</v>
      </c>
      <c r="D29" s="43">
        <v>5.71</v>
      </c>
      <c r="E29" s="43">
        <v>1.2709999999999999</v>
      </c>
      <c r="F29" s="43">
        <v>1.044</v>
      </c>
      <c r="G29" s="43">
        <v>0.75600000000000001</v>
      </c>
      <c r="H29" s="13"/>
      <c r="J29" s="13"/>
      <c r="K29" s="43"/>
      <c r="L29" s="43"/>
      <c r="M29" s="43"/>
      <c r="N29" s="43"/>
      <c r="O29" s="43"/>
    </row>
    <row r="30" spans="1:15" ht="15" customHeight="1" x14ac:dyDescent="0.25">
      <c r="A30" s="19">
        <v>2032</v>
      </c>
      <c r="B30" s="43">
        <v>17.702000000000002</v>
      </c>
      <c r="C30" s="43">
        <v>8.9239999999999995</v>
      </c>
      <c r="D30" s="43">
        <v>5.7140000000000004</v>
      </c>
      <c r="E30" s="43">
        <v>1.266</v>
      </c>
      <c r="F30" s="43">
        <v>0.96699999999999997</v>
      </c>
      <c r="G30" s="43">
        <v>0.83</v>
      </c>
      <c r="H30" s="13"/>
      <c r="J30" s="13"/>
      <c r="K30" s="43"/>
      <c r="L30" s="43"/>
      <c r="M30" s="43"/>
      <c r="N30" s="43"/>
      <c r="O30" s="43"/>
    </row>
    <row r="31" spans="1:15" ht="15" customHeight="1" x14ac:dyDescent="0.25">
      <c r="A31" s="19">
        <v>2033</v>
      </c>
      <c r="B31" s="43">
        <v>17.684999999999999</v>
      </c>
      <c r="C31" s="43">
        <v>8.9570000000000007</v>
      </c>
      <c r="D31" s="43">
        <v>5.7149999999999999</v>
      </c>
      <c r="E31" s="43">
        <v>1.258</v>
      </c>
      <c r="F31" s="43">
        <v>0.91500000000000004</v>
      </c>
      <c r="G31" s="43">
        <v>0.83899999999999997</v>
      </c>
      <c r="H31" s="13"/>
      <c r="J31" s="13"/>
      <c r="K31" s="43"/>
      <c r="L31" s="43"/>
      <c r="M31" s="43"/>
      <c r="N31" s="43"/>
      <c r="O31" s="43"/>
    </row>
    <row r="32" spans="1:15" ht="15" customHeight="1" x14ac:dyDescent="0.25">
      <c r="A32" s="19">
        <v>2034</v>
      </c>
      <c r="B32" s="43">
        <v>17.681000000000001</v>
      </c>
      <c r="C32" s="43">
        <v>8.9979999999999993</v>
      </c>
      <c r="D32" s="43">
        <v>5.7119999999999997</v>
      </c>
      <c r="E32" s="43">
        <v>1.2430000000000001</v>
      </c>
      <c r="F32" s="43">
        <v>0.88</v>
      </c>
      <c r="G32" s="43">
        <v>0.84799999999999998</v>
      </c>
      <c r="H32" s="13"/>
      <c r="J32" s="13"/>
      <c r="K32" s="43"/>
      <c r="L32" s="43"/>
      <c r="M32" s="43"/>
      <c r="N32" s="43"/>
      <c r="O32" s="43"/>
    </row>
    <row r="33" spans="1:15" ht="15" customHeight="1" x14ac:dyDescent="0.25">
      <c r="A33" s="19">
        <v>2035</v>
      </c>
      <c r="B33" s="43">
        <v>17.710999999999999</v>
      </c>
      <c r="C33" s="43">
        <v>9.0459999999999994</v>
      </c>
      <c r="D33" s="43">
        <v>5.71</v>
      </c>
      <c r="E33" s="43">
        <v>1.226</v>
      </c>
      <c r="F33" s="43">
        <v>0.86699999999999999</v>
      </c>
      <c r="G33" s="43">
        <v>0.86199999999999999</v>
      </c>
      <c r="H33" s="13"/>
      <c r="K33" s="43"/>
      <c r="L33" s="43"/>
      <c r="M33" s="43"/>
      <c r="N33" s="43"/>
      <c r="O33" s="43"/>
    </row>
    <row r="34" spans="1:15" ht="15" customHeight="1" x14ac:dyDescent="0.25">
      <c r="A34" s="19">
        <v>2036</v>
      </c>
      <c r="B34" s="43">
        <v>17.77</v>
      </c>
      <c r="C34" s="43">
        <v>9.0960000000000001</v>
      </c>
      <c r="D34" s="43">
        <v>5.7069999999999999</v>
      </c>
      <c r="E34" s="43">
        <v>1.232</v>
      </c>
      <c r="F34" s="43">
        <v>0.86099999999999999</v>
      </c>
      <c r="G34" s="43">
        <v>0.873</v>
      </c>
      <c r="H34" s="13"/>
      <c r="K34" s="43"/>
      <c r="L34" s="43"/>
      <c r="M34" s="43"/>
      <c r="N34" s="43"/>
      <c r="O34" s="43"/>
    </row>
    <row r="35" spans="1:15" ht="15" customHeight="1" x14ac:dyDescent="0.25">
      <c r="A35" s="19">
        <v>2037</v>
      </c>
      <c r="B35" s="43">
        <v>17.826000000000001</v>
      </c>
      <c r="C35" s="43">
        <v>9.1539999999999999</v>
      </c>
      <c r="D35" s="43">
        <v>5.7030000000000003</v>
      </c>
      <c r="E35" s="43">
        <v>1.2290000000000001</v>
      </c>
      <c r="F35" s="43">
        <v>0.85099999999999998</v>
      </c>
      <c r="G35" s="43">
        <v>0.89</v>
      </c>
      <c r="H35" s="13"/>
      <c r="K35" s="43"/>
      <c r="L35" s="43"/>
      <c r="M35" s="43"/>
      <c r="N35" s="43"/>
      <c r="O35" s="43"/>
    </row>
    <row r="36" spans="1:15" ht="15" customHeight="1" x14ac:dyDescent="0.25">
      <c r="A36" s="19">
        <v>2038</v>
      </c>
      <c r="B36" s="43">
        <v>17.88</v>
      </c>
      <c r="C36" s="43">
        <v>9.2210000000000001</v>
      </c>
      <c r="D36" s="43">
        <v>5.7009999999999996</v>
      </c>
      <c r="E36" s="43">
        <v>1.2270000000000001</v>
      </c>
      <c r="F36" s="43">
        <v>0.83899999999999997</v>
      </c>
      <c r="G36" s="43">
        <v>0.89300000000000002</v>
      </c>
      <c r="H36" s="13"/>
      <c r="K36" s="43"/>
      <c r="L36" s="43"/>
      <c r="M36" s="43"/>
      <c r="N36" s="43"/>
      <c r="O36" s="43"/>
    </row>
    <row r="37" spans="1:15" ht="15" customHeight="1" x14ac:dyDescent="0.25">
      <c r="A37" s="19">
        <v>2039</v>
      </c>
      <c r="B37" s="43">
        <v>17.945</v>
      </c>
      <c r="C37" s="43">
        <v>9.2789999999999999</v>
      </c>
      <c r="D37" s="43">
        <v>5.6989999999999998</v>
      </c>
      <c r="E37" s="43">
        <v>1.2390000000000001</v>
      </c>
      <c r="F37" s="43">
        <v>0.82599999999999996</v>
      </c>
      <c r="G37" s="43">
        <v>0.90200000000000002</v>
      </c>
      <c r="H37" s="13"/>
      <c r="K37" s="43"/>
      <c r="L37" s="43"/>
      <c r="M37" s="43"/>
      <c r="N37" s="43"/>
      <c r="O37" s="43"/>
    </row>
    <row r="38" spans="1:15" ht="15" customHeight="1" x14ac:dyDescent="0.25">
      <c r="A38" s="19">
        <v>2040</v>
      </c>
      <c r="B38" s="43">
        <v>17.998000000000001</v>
      </c>
      <c r="C38" s="43">
        <v>9.3279999999999994</v>
      </c>
      <c r="D38" s="43">
        <v>5.6970000000000001</v>
      </c>
      <c r="E38" s="43">
        <v>1.2470000000000001</v>
      </c>
      <c r="F38" s="43">
        <v>0.81399999999999995</v>
      </c>
      <c r="G38" s="43">
        <v>0.91200000000000003</v>
      </c>
      <c r="H38" s="13"/>
      <c r="K38" s="43"/>
      <c r="L38" s="43"/>
      <c r="M38" s="43"/>
      <c r="N38" s="43"/>
      <c r="O38" s="43"/>
    </row>
    <row r="39" spans="1:15" ht="15" customHeight="1" x14ac:dyDescent="0.25">
      <c r="A39" s="19">
        <v>2041</v>
      </c>
      <c r="B39" s="43">
        <v>18.059999999999999</v>
      </c>
      <c r="C39" s="43">
        <v>9.3840000000000003</v>
      </c>
      <c r="D39" s="43">
        <v>5.694</v>
      </c>
      <c r="E39" s="43">
        <v>1.2549999999999999</v>
      </c>
      <c r="F39" s="43">
        <v>0.80300000000000005</v>
      </c>
      <c r="G39" s="43">
        <v>0.92500000000000004</v>
      </c>
      <c r="H39" s="13"/>
      <c r="K39" s="43"/>
      <c r="L39" s="43"/>
      <c r="M39" s="43"/>
      <c r="N39" s="43"/>
      <c r="O39" s="43"/>
    </row>
    <row r="40" spans="1:15" ht="15" customHeight="1" x14ac:dyDescent="0.25">
      <c r="A40" s="19">
        <v>2042</v>
      </c>
      <c r="B40" s="43">
        <v>18.12</v>
      </c>
      <c r="C40" s="43">
        <v>9.44</v>
      </c>
      <c r="D40" s="43">
        <v>5.6920000000000002</v>
      </c>
      <c r="E40" s="43">
        <v>1.258</v>
      </c>
      <c r="F40" s="43">
        <v>0.79200000000000004</v>
      </c>
      <c r="G40" s="43">
        <v>0.93799999999999994</v>
      </c>
      <c r="H40" s="13"/>
      <c r="K40" s="43"/>
      <c r="L40" s="43"/>
      <c r="M40" s="43"/>
      <c r="N40" s="43"/>
      <c r="O40" s="43"/>
    </row>
    <row r="41" spans="1:15" ht="15" customHeight="1" x14ac:dyDescent="0.25">
      <c r="A41" s="19">
        <v>2043</v>
      </c>
      <c r="B41" s="43">
        <v>18.183</v>
      </c>
      <c r="C41" s="43">
        <v>9.4920000000000009</v>
      </c>
      <c r="D41" s="43">
        <v>5.69</v>
      </c>
      <c r="E41" s="43">
        <v>1.262</v>
      </c>
      <c r="F41" s="43">
        <v>0.78100000000000003</v>
      </c>
      <c r="G41" s="43">
        <v>0.95799999999999996</v>
      </c>
      <c r="H41" s="13"/>
      <c r="K41" s="43"/>
      <c r="L41" s="43"/>
      <c r="M41" s="43"/>
      <c r="N41" s="43"/>
      <c r="O41" s="43"/>
    </row>
    <row r="42" spans="1:15" ht="15" customHeight="1" x14ac:dyDescent="0.25">
      <c r="A42" s="19">
        <v>2044</v>
      </c>
      <c r="B42" s="43">
        <v>18.222999999999999</v>
      </c>
      <c r="C42" s="43">
        <v>9.5380000000000003</v>
      </c>
      <c r="D42" s="43">
        <v>5.6870000000000003</v>
      </c>
      <c r="E42" s="43">
        <v>1.266</v>
      </c>
      <c r="F42" s="43">
        <v>0.77100000000000002</v>
      </c>
      <c r="G42" s="43">
        <v>0.96</v>
      </c>
      <c r="H42" s="13"/>
      <c r="K42" s="43"/>
      <c r="L42" s="43"/>
      <c r="M42" s="43"/>
      <c r="N42" s="43"/>
      <c r="O42" s="43"/>
    </row>
    <row r="43" spans="1:15" ht="15" customHeight="1" x14ac:dyDescent="0.25">
      <c r="A43" s="19">
        <v>2045</v>
      </c>
      <c r="B43" s="43">
        <v>18.268000000000001</v>
      </c>
      <c r="C43" s="43">
        <v>9.5809999999999995</v>
      </c>
      <c r="D43" s="43">
        <v>5.6849999999999996</v>
      </c>
      <c r="E43" s="43">
        <v>1.2709999999999999</v>
      </c>
      <c r="F43" s="43">
        <v>0.76100000000000001</v>
      </c>
      <c r="G43" s="43">
        <v>0.96899999999999997</v>
      </c>
      <c r="H43" s="13"/>
      <c r="K43" s="43"/>
      <c r="L43" s="43"/>
      <c r="M43" s="43"/>
      <c r="N43" s="43"/>
      <c r="O43" s="43"/>
    </row>
    <row r="44" spans="1:15" ht="15" customHeight="1" x14ac:dyDescent="0.25">
      <c r="A44" s="19">
        <v>2046</v>
      </c>
      <c r="B44" s="43">
        <v>18.327999999999999</v>
      </c>
      <c r="C44" s="43">
        <v>9.6319999999999997</v>
      </c>
      <c r="D44" s="43">
        <v>5.6829999999999998</v>
      </c>
      <c r="E44" s="43">
        <v>1.284</v>
      </c>
      <c r="F44" s="43">
        <v>0.751</v>
      </c>
      <c r="G44" s="43">
        <v>0.97799999999999998</v>
      </c>
      <c r="H44" s="13"/>
      <c r="K44" s="43"/>
      <c r="L44" s="43"/>
      <c r="M44" s="43"/>
      <c r="N44" s="43"/>
      <c r="O44" s="43"/>
    </row>
    <row r="45" spans="1:15" ht="15" customHeight="1" x14ac:dyDescent="0.25">
      <c r="A45" s="19">
        <v>2047</v>
      </c>
      <c r="B45" s="43">
        <v>18.373999999999999</v>
      </c>
      <c r="C45" s="43">
        <v>9.6760000000000002</v>
      </c>
      <c r="D45" s="43">
        <v>5.681</v>
      </c>
      <c r="E45" s="43">
        <v>1.288</v>
      </c>
      <c r="F45" s="43">
        <v>0.74099999999999999</v>
      </c>
      <c r="G45" s="43">
        <v>0.98899999999999999</v>
      </c>
      <c r="H45" s="13"/>
      <c r="K45" s="43"/>
      <c r="L45" s="43"/>
      <c r="M45" s="43"/>
      <c r="N45" s="43"/>
      <c r="O45" s="43"/>
    </row>
    <row r="46" spans="1:15" ht="15" customHeight="1" x14ac:dyDescent="0.25">
      <c r="A46" s="19">
        <v>2048</v>
      </c>
      <c r="B46" s="43">
        <v>18.427</v>
      </c>
      <c r="C46" s="43">
        <v>9.718</v>
      </c>
      <c r="D46" s="43">
        <v>5.6779999999999999</v>
      </c>
      <c r="E46" s="43">
        <v>1.2909999999999999</v>
      </c>
      <c r="F46" s="43">
        <v>0.73199999999999998</v>
      </c>
      <c r="G46" s="43">
        <v>1.008</v>
      </c>
      <c r="H46" s="13"/>
      <c r="K46" s="43"/>
      <c r="L46" s="43"/>
      <c r="M46" s="43"/>
      <c r="N46" s="43"/>
      <c r="O46" s="43"/>
    </row>
    <row r="47" spans="1:15" ht="15" customHeight="1" x14ac:dyDescent="0.25">
      <c r="A47" s="19">
        <v>2049</v>
      </c>
      <c r="B47" s="43">
        <v>18.454999999999998</v>
      </c>
      <c r="C47" s="43">
        <v>9.7539999999999996</v>
      </c>
      <c r="D47" s="43">
        <v>5.6769999999999996</v>
      </c>
      <c r="E47" s="43">
        <v>1.2949999999999999</v>
      </c>
      <c r="F47" s="43">
        <v>0.72299999999999998</v>
      </c>
      <c r="G47" s="43">
        <v>1.006</v>
      </c>
      <c r="H47" s="13"/>
      <c r="K47" s="43"/>
      <c r="L47" s="43"/>
      <c r="M47" s="43"/>
      <c r="N47" s="43"/>
      <c r="O47" s="43"/>
    </row>
    <row r="48" spans="1:15" ht="15" customHeight="1" x14ac:dyDescent="0.25">
      <c r="A48" s="19">
        <v>2050</v>
      </c>
      <c r="B48" s="43">
        <v>18.489000000000001</v>
      </c>
      <c r="C48" s="43">
        <v>9.7870000000000008</v>
      </c>
      <c r="D48" s="43">
        <v>5.6749999999999998</v>
      </c>
      <c r="E48" s="43">
        <v>1.3</v>
      </c>
      <c r="F48" s="43">
        <v>0.71499999999999997</v>
      </c>
      <c r="G48" s="43">
        <v>1.0129999999999999</v>
      </c>
      <c r="H48" s="13"/>
      <c r="K48" s="43"/>
      <c r="L48" s="43"/>
      <c r="M48" s="43"/>
      <c r="N48" s="43"/>
      <c r="O48" s="43"/>
    </row>
    <row r="49" spans="1:15" ht="15" customHeight="1" x14ac:dyDescent="0.25">
      <c r="A49" s="19">
        <v>2051</v>
      </c>
      <c r="B49" s="43">
        <v>18.544</v>
      </c>
      <c r="C49" s="43">
        <v>9.8420000000000005</v>
      </c>
      <c r="D49" s="43">
        <v>5.6719999999999997</v>
      </c>
      <c r="E49" s="43">
        <v>1.302</v>
      </c>
      <c r="F49" s="43">
        <v>0.70599999999999996</v>
      </c>
      <c r="G49" s="43">
        <v>1.0209999999999999</v>
      </c>
      <c r="H49" s="13"/>
      <c r="K49" s="43"/>
      <c r="L49" s="43"/>
      <c r="M49" s="43"/>
      <c r="N49" s="43"/>
      <c r="O49" s="43"/>
    </row>
    <row r="50" spans="1:15" ht="15" customHeight="1" x14ac:dyDescent="0.25">
      <c r="A50" s="19">
        <v>2052</v>
      </c>
      <c r="B50" s="43">
        <v>18.600999999999999</v>
      </c>
      <c r="C50" s="43">
        <v>9.9019999999999992</v>
      </c>
      <c r="D50" s="43">
        <v>5.6689999999999996</v>
      </c>
      <c r="E50" s="43">
        <v>1.3029999999999999</v>
      </c>
      <c r="F50" s="43">
        <v>0.69899999999999995</v>
      </c>
      <c r="G50" s="43">
        <v>1.028</v>
      </c>
      <c r="H50" s="13"/>
      <c r="K50" s="43"/>
      <c r="L50" s="43"/>
      <c r="M50" s="43"/>
      <c r="N50" s="43"/>
      <c r="O50" s="43"/>
    </row>
    <row r="51" spans="1:15" ht="15" customHeight="1" x14ac:dyDescent="0.25">
      <c r="A51" s="19">
        <v>2053</v>
      </c>
      <c r="B51" s="43">
        <v>18.646999999999998</v>
      </c>
      <c r="C51" s="43">
        <v>9.9529999999999994</v>
      </c>
      <c r="D51" s="43">
        <v>5.6669999999999998</v>
      </c>
      <c r="E51" s="43">
        <v>1.3029999999999999</v>
      </c>
      <c r="F51" s="43">
        <v>0.69199999999999995</v>
      </c>
      <c r="G51" s="43">
        <v>1.032</v>
      </c>
      <c r="H51" s="13"/>
      <c r="K51" s="43"/>
      <c r="L51" s="43"/>
      <c r="M51" s="43"/>
      <c r="N51" s="43"/>
      <c r="O51" s="43"/>
    </row>
    <row r="52" spans="1:15" ht="15" customHeight="1" x14ac:dyDescent="0.25">
      <c r="A52" s="19">
        <v>2054</v>
      </c>
      <c r="B52" s="43">
        <v>18.704000000000001</v>
      </c>
      <c r="C52" s="43">
        <v>10.009</v>
      </c>
      <c r="D52" s="43">
        <v>5.665</v>
      </c>
      <c r="E52" s="43">
        <v>1.3029999999999999</v>
      </c>
      <c r="F52" s="43">
        <v>0.68600000000000005</v>
      </c>
      <c r="G52" s="43">
        <v>1.0429999999999999</v>
      </c>
      <c r="H52" s="13"/>
      <c r="J52" s="14"/>
      <c r="K52" s="43"/>
      <c r="L52" s="43"/>
      <c r="M52" s="43"/>
      <c r="N52" s="43"/>
      <c r="O52" s="43"/>
    </row>
    <row r="53" spans="1:15" ht="15" customHeight="1" x14ac:dyDescent="0.25">
      <c r="A53" s="19">
        <v>2055</v>
      </c>
      <c r="B53" s="43">
        <v>18.741</v>
      </c>
      <c r="C53" s="43">
        <v>10.058999999999999</v>
      </c>
      <c r="D53" s="43">
        <v>5.6619999999999999</v>
      </c>
      <c r="E53" s="43">
        <v>1.304</v>
      </c>
      <c r="F53" s="43">
        <v>0.68</v>
      </c>
      <c r="G53" s="43">
        <v>1.036</v>
      </c>
      <c r="H53" s="13"/>
      <c r="I53" s="13"/>
      <c r="J53" s="13"/>
      <c r="K53" s="13"/>
    </row>
    <row r="54" spans="1:15" ht="15" customHeight="1" x14ac:dyDescent="0.25">
      <c r="A54" s="19">
        <v>2056</v>
      </c>
      <c r="B54" s="43">
        <v>18.797999999999998</v>
      </c>
      <c r="C54" s="43">
        <v>10.115</v>
      </c>
      <c r="D54" s="43">
        <v>5.66</v>
      </c>
      <c r="E54" s="43">
        <v>1.31</v>
      </c>
      <c r="F54" s="43">
        <v>0.67400000000000004</v>
      </c>
      <c r="G54" s="43">
        <v>1.0389999999999999</v>
      </c>
      <c r="H54" s="13"/>
      <c r="I54" s="13"/>
      <c r="J54" s="13"/>
      <c r="K54" s="13"/>
    </row>
    <row r="55" spans="1:15" ht="15" customHeight="1" x14ac:dyDescent="0.25">
      <c r="A55" s="160"/>
      <c r="B55" s="7"/>
      <c r="C55" s="7"/>
      <c r="D55" s="7"/>
      <c r="E55" s="7"/>
      <c r="F55" s="7"/>
      <c r="G55" s="7"/>
      <c r="H55" s="13"/>
      <c r="J55" s="14"/>
      <c r="K55" s="14"/>
      <c r="L55" s="14"/>
      <c r="M55" s="14"/>
    </row>
    <row r="56" spans="1:15" ht="15" customHeight="1" x14ac:dyDescent="0.25">
      <c r="C56" s="15"/>
      <c r="D56" s="15"/>
      <c r="E56" s="15"/>
      <c r="F56" s="15"/>
      <c r="G56" s="15"/>
    </row>
    <row r="57" spans="1:15" ht="15" customHeight="1" x14ac:dyDescent="0.25">
      <c r="A57" s="214" t="s">
        <v>26</v>
      </c>
      <c r="B57" s="214"/>
      <c r="C57" s="214"/>
      <c r="D57" s="214"/>
      <c r="E57" s="214"/>
      <c r="F57" s="214"/>
      <c r="G57" s="214"/>
    </row>
    <row r="58" spans="1:15" ht="15" customHeight="1" x14ac:dyDescent="0.25">
      <c r="A58" s="168"/>
      <c r="B58" s="168"/>
      <c r="C58" s="168"/>
      <c r="D58" s="168"/>
      <c r="E58" s="168"/>
      <c r="F58" s="168"/>
      <c r="G58" s="168"/>
    </row>
    <row r="59" spans="1:15" ht="15" customHeight="1" x14ac:dyDescent="0.25">
      <c r="A59" s="168" t="s">
        <v>189</v>
      </c>
      <c r="B59" s="168"/>
      <c r="C59" s="168"/>
      <c r="D59" s="168"/>
      <c r="E59" s="168"/>
      <c r="F59" s="168"/>
      <c r="G59" s="168"/>
    </row>
    <row r="60" spans="1:15" ht="39" customHeight="1" x14ac:dyDescent="0.25">
      <c r="A60" s="208" t="s">
        <v>190</v>
      </c>
      <c r="B60" s="208"/>
      <c r="C60" s="208"/>
      <c r="D60" s="208"/>
      <c r="E60" s="208"/>
      <c r="F60" s="208"/>
      <c r="G60" s="208"/>
    </row>
    <row r="61" spans="1:15" ht="14.25" customHeight="1" x14ac:dyDescent="0.25">
      <c r="A61" s="76"/>
      <c r="B61" s="76"/>
      <c r="C61" s="76"/>
      <c r="D61" s="76"/>
      <c r="E61" s="76"/>
      <c r="F61" s="76"/>
      <c r="G61" s="76"/>
    </row>
    <row r="62" spans="1:15" ht="14.25" customHeight="1" x14ac:dyDescent="0.25">
      <c r="A62" s="167"/>
      <c r="B62" s="167"/>
      <c r="C62" s="167"/>
      <c r="D62" s="167"/>
      <c r="E62" s="167"/>
      <c r="F62" s="167"/>
      <c r="G62" s="167"/>
    </row>
    <row r="63" spans="1:15" ht="15" customHeight="1" x14ac:dyDescent="0.25">
      <c r="A63" s="186" t="s">
        <v>23</v>
      </c>
      <c r="C63" s="15"/>
      <c r="D63" s="15"/>
      <c r="E63" s="15"/>
      <c r="F63" s="15"/>
      <c r="G63" s="15"/>
    </row>
    <row r="64" spans="1:15" ht="15" customHeight="1" x14ac:dyDescent="0.25">
      <c r="C64" s="15"/>
      <c r="D64" s="15"/>
      <c r="E64" s="15"/>
      <c r="F64" s="15"/>
      <c r="G64" s="15"/>
    </row>
    <row r="65" spans="3:7" ht="15" customHeight="1" x14ac:dyDescent="0.25">
      <c r="C65" s="15"/>
      <c r="D65" s="15"/>
      <c r="E65" s="15"/>
      <c r="F65" s="15"/>
      <c r="G65" s="15"/>
    </row>
    <row r="66" spans="3:7" ht="15" customHeight="1" x14ac:dyDescent="0.25">
      <c r="C66" s="15"/>
      <c r="D66" s="15"/>
      <c r="E66" s="15"/>
      <c r="F66" s="15"/>
      <c r="G66" s="15"/>
    </row>
    <row r="67" spans="3:7" ht="15" customHeight="1" x14ac:dyDescent="0.25">
      <c r="C67" s="15"/>
      <c r="D67" s="15"/>
      <c r="E67" s="15"/>
      <c r="F67" s="15"/>
      <c r="G67" s="15"/>
    </row>
    <row r="68" spans="3:7" ht="15" customHeight="1" x14ac:dyDescent="0.25">
      <c r="C68" s="15"/>
      <c r="D68" s="15"/>
      <c r="E68" s="15"/>
      <c r="F68" s="15"/>
      <c r="G68" s="15"/>
    </row>
    <row r="69" spans="3:7" ht="15" customHeight="1" x14ac:dyDescent="0.25">
      <c r="C69" s="15"/>
      <c r="D69" s="15"/>
      <c r="E69" s="15"/>
      <c r="F69" s="15"/>
      <c r="G69" s="15"/>
    </row>
    <row r="70" spans="3:7" ht="15" customHeight="1" x14ac:dyDescent="0.25">
      <c r="C70" s="15"/>
      <c r="D70" s="15"/>
      <c r="E70" s="15"/>
      <c r="F70" s="15"/>
      <c r="G70" s="15"/>
    </row>
    <row r="71" spans="3:7" ht="15" customHeight="1" x14ac:dyDescent="0.25">
      <c r="C71" s="15"/>
      <c r="D71" s="15"/>
      <c r="E71" s="15"/>
      <c r="F71" s="15"/>
      <c r="G71" s="15"/>
    </row>
    <row r="72" spans="3:7" ht="15" customHeight="1" x14ac:dyDescent="0.25">
      <c r="C72" s="15"/>
      <c r="D72" s="15"/>
      <c r="E72" s="15"/>
      <c r="F72" s="15"/>
      <c r="G72" s="15"/>
    </row>
    <row r="73" spans="3:7" ht="15" customHeight="1" x14ac:dyDescent="0.25">
      <c r="C73" s="15"/>
      <c r="D73" s="15"/>
      <c r="E73" s="15"/>
      <c r="F73" s="15"/>
      <c r="G73" s="15"/>
    </row>
    <row r="74" spans="3:7" ht="15" customHeight="1" x14ac:dyDescent="0.25">
      <c r="C74" s="15"/>
      <c r="D74" s="15"/>
      <c r="E74" s="15"/>
      <c r="F74" s="15"/>
      <c r="G74" s="15"/>
    </row>
    <row r="75" spans="3:7" ht="15" customHeight="1" x14ac:dyDescent="0.25">
      <c r="C75" s="15"/>
      <c r="D75" s="15"/>
      <c r="E75" s="15"/>
      <c r="F75" s="15"/>
      <c r="G75" s="15"/>
    </row>
    <row r="76" spans="3:7" ht="15" customHeight="1" x14ac:dyDescent="0.25">
      <c r="C76" s="15"/>
      <c r="D76" s="15"/>
      <c r="E76" s="15"/>
      <c r="F76" s="15"/>
      <c r="G76" s="15"/>
    </row>
    <row r="77" spans="3:7" ht="15" customHeight="1" x14ac:dyDescent="0.25">
      <c r="C77" s="15"/>
      <c r="D77" s="15"/>
      <c r="E77" s="15"/>
      <c r="F77" s="15"/>
      <c r="G77" s="15"/>
    </row>
    <row r="78" spans="3:7" ht="15" customHeight="1" x14ac:dyDescent="0.25">
      <c r="C78" s="15"/>
      <c r="D78" s="15"/>
      <c r="E78" s="15"/>
      <c r="F78" s="15"/>
      <c r="G78" s="15"/>
    </row>
    <row r="79" spans="3:7" ht="15" customHeight="1" x14ac:dyDescent="0.25">
      <c r="C79" s="15"/>
      <c r="D79" s="15"/>
      <c r="E79" s="15"/>
      <c r="F79" s="15"/>
      <c r="G79" s="15"/>
    </row>
    <row r="80" spans="3:7" ht="15" customHeight="1" x14ac:dyDescent="0.25">
      <c r="C80" s="15"/>
      <c r="D80" s="15"/>
      <c r="E80" s="15"/>
      <c r="F80" s="15"/>
      <c r="G80" s="15"/>
    </row>
    <row r="81" spans="3:7" ht="15" customHeight="1" x14ac:dyDescent="0.25">
      <c r="C81" s="15"/>
      <c r="D81" s="15"/>
      <c r="E81" s="15"/>
      <c r="F81" s="15"/>
      <c r="G81" s="15"/>
    </row>
    <row r="82" spans="3:7" ht="15" customHeight="1" x14ac:dyDescent="0.25">
      <c r="C82" s="15"/>
      <c r="D82" s="15"/>
      <c r="E82" s="15"/>
      <c r="F82" s="15"/>
      <c r="G82" s="15"/>
    </row>
    <row r="83" spans="3:7" ht="15" customHeight="1" x14ac:dyDescent="0.25">
      <c r="C83" s="15"/>
      <c r="D83" s="15"/>
      <c r="E83" s="15"/>
      <c r="F83" s="15"/>
      <c r="G83" s="15"/>
    </row>
    <row r="84" spans="3:7" ht="15" customHeight="1" x14ac:dyDescent="0.25">
      <c r="C84" s="15"/>
      <c r="D84" s="15"/>
      <c r="E84" s="15"/>
      <c r="F84" s="15"/>
      <c r="G84" s="15"/>
    </row>
    <row r="85" spans="3:7" ht="15" customHeight="1" x14ac:dyDescent="0.25">
      <c r="C85" s="15"/>
      <c r="D85" s="15"/>
      <c r="E85" s="15"/>
      <c r="F85" s="15"/>
      <c r="G85" s="15"/>
    </row>
    <row r="86" spans="3:7" ht="15" customHeight="1" x14ac:dyDescent="0.25">
      <c r="C86" s="15"/>
      <c r="D86" s="15"/>
      <c r="E86" s="15"/>
      <c r="F86" s="15"/>
      <c r="G86" s="15"/>
    </row>
    <row r="87" spans="3:7" ht="15" customHeight="1" x14ac:dyDescent="0.25">
      <c r="C87" s="15"/>
      <c r="D87" s="15"/>
      <c r="E87" s="15"/>
      <c r="F87" s="15"/>
      <c r="G87" s="15"/>
    </row>
    <row r="88" spans="3:7" ht="15" customHeight="1" x14ac:dyDescent="0.25">
      <c r="C88" s="15"/>
      <c r="D88" s="15"/>
      <c r="E88" s="15"/>
      <c r="F88" s="15"/>
      <c r="G88" s="15"/>
    </row>
    <row r="89" spans="3:7" ht="15" customHeight="1" x14ac:dyDescent="0.25">
      <c r="C89" s="15"/>
      <c r="D89" s="15"/>
      <c r="E89" s="15"/>
      <c r="F89" s="15"/>
      <c r="G89" s="15"/>
    </row>
    <row r="90" spans="3:7" ht="15" customHeight="1" x14ac:dyDescent="0.25">
      <c r="C90" s="15"/>
      <c r="D90" s="15"/>
      <c r="E90" s="15"/>
      <c r="F90" s="15"/>
      <c r="G90" s="15"/>
    </row>
    <row r="91" spans="3:7" ht="15" customHeight="1" x14ac:dyDescent="0.25">
      <c r="C91" s="15"/>
      <c r="D91" s="15"/>
      <c r="E91" s="15"/>
      <c r="F91" s="15"/>
      <c r="G91" s="15"/>
    </row>
    <row r="92" spans="3:7" ht="15" customHeight="1" x14ac:dyDescent="0.25">
      <c r="C92" s="15"/>
      <c r="D92" s="15"/>
      <c r="E92" s="15"/>
      <c r="F92" s="15"/>
      <c r="G92" s="15"/>
    </row>
    <row r="93" spans="3:7" ht="15" customHeight="1" x14ac:dyDescent="0.25">
      <c r="C93" s="15"/>
      <c r="D93" s="15"/>
      <c r="E93" s="15"/>
      <c r="F93" s="15"/>
      <c r="G93" s="15"/>
    </row>
    <row r="94" spans="3:7" ht="15" customHeight="1" x14ac:dyDescent="0.25">
      <c r="C94" s="15"/>
      <c r="D94" s="15"/>
      <c r="E94" s="15"/>
      <c r="F94" s="15"/>
      <c r="G94" s="15"/>
    </row>
    <row r="95" spans="3:7" ht="15" customHeight="1" x14ac:dyDescent="0.25">
      <c r="C95" s="15"/>
      <c r="D95" s="15"/>
      <c r="E95" s="15"/>
      <c r="F95" s="15"/>
      <c r="G95" s="15"/>
    </row>
    <row r="96" spans="3:7" ht="15" customHeight="1" x14ac:dyDescent="0.25">
      <c r="C96" s="15"/>
      <c r="D96" s="15"/>
      <c r="E96" s="15"/>
      <c r="F96" s="15"/>
      <c r="G96" s="15"/>
    </row>
    <row r="97" spans="3:7" ht="15" customHeight="1" x14ac:dyDescent="0.25">
      <c r="C97" s="15"/>
      <c r="D97" s="15"/>
      <c r="E97" s="15"/>
      <c r="F97" s="15"/>
      <c r="G97" s="15"/>
    </row>
    <row r="98" spans="3:7" ht="15" customHeight="1" x14ac:dyDescent="0.25">
      <c r="C98" s="15"/>
      <c r="D98" s="15"/>
      <c r="E98" s="15"/>
      <c r="F98" s="15"/>
      <c r="G98" s="15"/>
    </row>
  </sheetData>
  <mergeCells count="4">
    <mergeCell ref="A5:G5"/>
    <mergeCell ref="A6:G6"/>
    <mergeCell ref="A57:G57"/>
    <mergeCell ref="A60:G60"/>
  </mergeCells>
  <hyperlinks>
    <hyperlink ref="A63" location="Contents!A1" display="Back to Table of Contents" xr:uid="{AF72CCA5-756B-AA45-8A3E-EB7A6480C712}"/>
    <hyperlink ref="A2" r:id="rId1" xr:uid="{37240351-1642-C445-93B4-2D833CA58306}"/>
  </hyperlinks>
  <pageMargins left="0.7" right="0.7" top="0.75" bottom="0.75" header="0.3" footer="0.3"/>
  <pageSetup orientation="portrait" horizontalDpi="1200" verticalDpi="1200"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1B299-834F-B94D-814F-BFDD48E1DF79}">
  <sheetPr codeName="Sheet13"/>
  <dimension ref="A1:M23"/>
  <sheetViews>
    <sheetView zoomScaleNormal="100" workbookViewId="0"/>
  </sheetViews>
  <sheetFormatPr defaultColWidth="9.109375" defaultRowHeight="13.8" x14ac:dyDescent="0.25"/>
  <cols>
    <col min="1" max="1" width="21.44140625" style="16" customWidth="1"/>
    <col min="2" max="5" width="17.109375" style="16" customWidth="1"/>
    <col min="6" max="16384" width="9.109375" style="16"/>
  </cols>
  <sheetData>
    <row r="1" spans="1:13" ht="14.25" customHeight="1" x14ac:dyDescent="0.3">
      <c r="A1" s="24" t="s">
        <v>215</v>
      </c>
    </row>
    <row r="2" spans="1:13" ht="14.25" customHeight="1" x14ac:dyDescent="0.25">
      <c r="A2" s="186" t="s">
        <v>0</v>
      </c>
      <c r="B2" s="6"/>
      <c r="C2" s="6"/>
    </row>
    <row r="3" spans="1:13" ht="14.25" customHeight="1" x14ac:dyDescent="0.25"/>
    <row r="4" spans="1:13" ht="14.25" customHeight="1" x14ac:dyDescent="0.25">
      <c r="B4" s="161"/>
      <c r="C4" s="161"/>
      <c r="D4" s="161"/>
      <c r="E4" s="161"/>
      <c r="F4" s="11"/>
      <c r="G4" s="11"/>
      <c r="H4" s="11"/>
      <c r="I4" s="11"/>
    </row>
    <row r="5" spans="1:13" ht="30" customHeight="1" x14ac:dyDescent="0.25">
      <c r="A5" s="215" t="s">
        <v>150</v>
      </c>
      <c r="B5" s="197"/>
      <c r="C5" s="197"/>
      <c r="D5" s="197"/>
      <c r="E5" s="197"/>
      <c r="F5" s="67"/>
      <c r="G5" s="67"/>
      <c r="H5" s="67"/>
      <c r="I5" s="67"/>
    </row>
    <row r="6" spans="1:13" ht="15" customHeight="1" x14ac:dyDescent="0.25">
      <c r="A6" s="21" t="s">
        <v>34</v>
      </c>
      <c r="B6" s="21"/>
      <c r="C6" s="21"/>
      <c r="D6" s="160"/>
      <c r="E6" s="21"/>
    </row>
    <row r="8" spans="1:13" x14ac:dyDescent="0.25">
      <c r="A8" s="19"/>
      <c r="B8" s="216" t="s">
        <v>86</v>
      </c>
      <c r="C8" s="217"/>
      <c r="D8" s="217"/>
      <c r="E8" s="217"/>
    </row>
    <row r="9" spans="1:13" ht="28.5" customHeight="1" x14ac:dyDescent="0.25">
      <c r="A9" s="68"/>
      <c r="B9" s="164">
        <v>0</v>
      </c>
      <c r="C9" s="164" t="s">
        <v>87</v>
      </c>
      <c r="D9" s="164" t="s">
        <v>88</v>
      </c>
      <c r="E9" s="164" t="s">
        <v>89</v>
      </c>
      <c r="F9" s="9"/>
      <c r="H9" s="3"/>
    </row>
    <row r="10" spans="1:13" x14ac:dyDescent="0.25">
      <c r="A10" s="19">
        <v>2026</v>
      </c>
      <c r="B10" s="2">
        <v>25</v>
      </c>
      <c r="C10" s="2">
        <v>36</v>
      </c>
      <c r="D10" s="2">
        <v>31</v>
      </c>
      <c r="E10" s="2">
        <v>8</v>
      </c>
      <c r="F10" s="9"/>
    </row>
    <row r="11" spans="1:13" x14ac:dyDescent="0.25">
      <c r="A11" s="19">
        <v>2056</v>
      </c>
      <c r="B11" s="2">
        <v>18</v>
      </c>
      <c r="C11" s="2">
        <v>32</v>
      </c>
      <c r="D11" s="2">
        <v>39</v>
      </c>
      <c r="E11" s="2">
        <v>11</v>
      </c>
      <c r="F11" s="9"/>
      <c r="H11" s="125"/>
      <c r="I11" s="125"/>
      <c r="J11" s="125"/>
      <c r="K11" s="125"/>
    </row>
    <row r="12" spans="1:13" x14ac:dyDescent="0.25">
      <c r="A12" s="160"/>
      <c r="B12" s="69"/>
      <c r="C12" s="69"/>
      <c r="D12" s="69"/>
      <c r="E12" s="69"/>
      <c r="F12" s="9"/>
      <c r="H12" s="125"/>
      <c r="I12" s="125"/>
      <c r="J12" s="125"/>
      <c r="K12" s="125"/>
    </row>
    <row r="13" spans="1:13" x14ac:dyDescent="0.25">
      <c r="D13" s="9"/>
      <c r="E13" s="9"/>
      <c r="F13" s="9"/>
      <c r="G13" s="9"/>
      <c r="H13" s="9"/>
      <c r="I13" s="9"/>
      <c r="J13" s="9"/>
      <c r="K13" s="9"/>
      <c r="L13" s="9"/>
      <c r="M13" s="9"/>
    </row>
    <row r="14" spans="1:13" x14ac:dyDescent="0.25">
      <c r="A14" s="197" t="s">
        <v>66</v>
      </c>
      <c r="B14" s="197"/>
      <c r="C14" s="197"/>
      <c r="D14" s="197"/>
      <c r="E14" s="197"/>
      <c r="F14" s="9"/>
      <c r="G14" s="9"/>
      <c r="H14" s="9"/>
      <c r="I14" s="9"/>
      <c r="J14" s="9"/>
      <c r="K14" s="9"/>
      <c r="L14" s="9"/>
      <c r="M14" s="9"/>
    </row>
    <row r="15" spans="1:13" ht="63" customHeight="1" x14ac:dyDescent="0.25">
      <c r="A15" s="193" t="s">
        <v>174</v>
      </c>
      <c r="B15" s="193"/>
      <c r="C15" s="193"/>
      <c r="D15" s="193"/>
      <c r="E15" s="193"/>
      <c r="F15" s="9"/>
      <c r="G15" s="9"/>
      <c r="H15" s="9"/>
      <c r="I15" s="9"/>
      <c r="J15" s="9"/>
      <c r="K15" s="9"/>
      <c r="L15" s="9"/>
      <c r="M15" s="9"/>
    </row>
    <row r="16" spans="1:13" x14ac:dyDescent="0.25">
      <c r="A16" s="21"/>
      <c r="B16" s="21"/>
      <c r="C16" s="21"/>
      <c r="D16" s="21"/>
      <c r="E16" s="21"/>
      <c r="F16" s="9"/>
      <c r="G16" s="9"/>
      <c r="H16" s="9"/>
      <c r="I16" s="9"/>
      <c r="J16" s="9"/>
      <c r="K16" s="9"/>
      <c r="L16" s="9"/>
      <c r="M16" s="9"/>
    </row>
    <row r="17" spans="1:13" x14ac:dyDescent="0.25">
      <c r="F17" s="9"/>
      <c r="G17" s="9"/>
      <c r="H17" s="9"/>
      <c r="I17" s="9"/>
      <c r="J17" s="9"/>
      <c r="K17" s="9"/>
      <c r="L17" s="9"/>
      <c r="M17" s="9"/>
    </row>
    <row r="18" spans="1:13" x14ac:dyDescent="0.25">
      <c r="A18" s="186" t="s">
        <v>23</v>
      </c>
      <c r="B18" s="5"/>
      <c r="C18" s="5"/>
      <c r="D18" s="5"/>
      <c r="E18" s="5"/>
      <c r="H18" s="5"/>
      <c r="I18" s="5"/>
      <c r="J18" s="5"/>
      <c r="K18" s="5"/>
      <c r="L18" s="5"/>
    </row>
    <row r="19" spans="1:13" x14ac:dyDescent="0.25">
      <c r="B19" s="5"/>
      <c r="C19" s="5"/>
      <c r="D19" s="5"/>
      <c r="E19" s="5"/>
    </row>
    <row r="22" spans="1:13" x14ac:dyDescent="0.25">
      <c r="B22" s="180"/>
      <c r="C22" s="180"/>
      <c r="D22" s="180"/>
      <c r="E22" s="180"/>
    </row>
    <row r="23" spans="1:13" x14ac:dyDescent="0.25">
      <c r="B23" s="180"/>
      <c r="C23" s="180"/>
      <c r="D23" s="180"/>
      <c r="E23" s="180"/>
    </row>
  </sheetData>
  <mergeCells count="4">
    <mergeCell ref="A5:E5"/>
    <mergeCell ref="B8:E8"/>
    <mergeCell ref="A15:E15"/>
    <mergeCell ref="A14:E14"/>
  </mergeCells>
  <hyperlinks>
    <hyperlink ref="A18" location="Contents!A1" display="Back to Table of Contents" xr:uid="{971869AE-B02C-5E4F-80CE-86F6D4CC675B}"/>
    <hyperlink ref="A2" r:id="rId1" xr:uid="{DDC18D6B-B8AF-5343-8C3E-30A617BDFF16}"/>
  </hyperlinks>
  <pageMargins left="0.7" right="0.7" top="0.75" bottom="0.75" header="0.3" footer="0.3"/>
  <pageSetup orientation="portrait" horizontalDpi="1200" verticalDpi="1200"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5B535-2392-45D6-B521-D4241E7D5B6C}">
  <sheetPr codeName="Sheet14">
    <pageSetUpPr fitToPage="1"/>
  </sheetPr>
  <dimension ref="A1:I166"/>
  <sheetViews>
    <sheetView zoomScaleNormal="100" workbookViewId="0"/>
  </sheetViews>
  <sheetFormatPr defaultColWidth="8.44140625" defaultRowHeight="15" customHeight="1" x14ac:dyDescent="0.25"/>
  <cols>
    <col min="1" max="1" width="13" style="20" customWidth="1"/>
    <col min="2" max="2" width="20.44140625" style="19" customWidth="1"/>
    <col min="3" max="4" width="23.44140625" style="20" customWidth="1"/>
    <col min="5" max="5" width="11.44140625" style="16" customWidth="1"/>
    <col min="6" max="7" width="8.44140625" style="16" customWidth="1"/>
    <col min="8" max="8" width="15" style="16" bestFit="1" customWidth="1"/>
    <col min="9" max="9" width="14.44140625" style="16" bestFit="1" customWidth="1"/>
    <col min="10" max="92" width="8.44140625" style="16" customWidth="1"/>
    <col min="93" max="16384" width="8.44140625" style="16"/>
  </cols>
  <sheetData>
    <row r="1" spans="1:9" ht="14.25" customHeight="1" x14ac:dyDescent="0.3">
      <c r="A1" s="24" t="s">
        <v>215</v>
      </c>
      <c r="B1" s="16"/>
      <c r="C1" s="16"/>
      <c r="D1" s="16"/>
    </row>
    <row r="2" spans="1:9" ht="14.25" customHeight="1" x14ac:dyDescent="0.25">
      <c r="A2" s="186" t="s">
        <v>0</v>
      </c>
      <c r="B2" s="16"/>
      <c r="C2" s="16"/>
      <c r="D2" s="16"/>
    </row>
    <row r="3" spans="1:9" ht="14.25" customHeight="1" x14ac:dyDescent="0.25">
      <c r="A3" s="19"/>
      <c r="C3" s="19"/>
      <c r="D3" s="16"/>
    </row>
    <row r="4" spans="1:9" ht="14.25" customHeight="1" x14ac:dyDescent="0.25">
      <c r="B4" s="153"/>
      <c r="C4" s="153"/>
      <c r="D4" s="1"/>
      <c r="E4" s="1"/>
      <c r="F4" s="1"/>
      <c r="G4" s="1"/>
      <c r="H4" s="1"/>
      <c r="I4" s="1"/>
    </row>
    <row r="5" spans="1:9" ht="30" customHeight="1" x14ac:dyDescent="0.25">
      <c r="A5" s="194" t="s">
        <v>151</v>
      </c>
      <c r="B5" s="201"/>
      <c r="C5" s="211"/>
      <c r="D5" s="211"/>
      <c r="E5" s="12"/>
      <c r="F5" s="12"/>
      <c r="G5" s="12"/>
      <c r="H5" s="12"/>
      <c r="I5" s="12"/>
    </row>
    <row r="6" spans="1:9" ht="14.25" customHeight="1" x14ac:dyDescent="0.25">
      <c r="A6" s="160" t="s">
        <v>34</v>
      </c>
      <c r="C6" s="19"/>
      <c r="D6" s="16"/>
      <c r="F6" s="20"/>
      <c r="G6" s="20"/>
      <c r="H6" s="20"/>
      <c r="I6" s="20"/>
    </row>
    <row r="7" spans="1:9" ht="14.25" customHeight="1" x14ac:dyDescent="0.25">
      <c r="B7" s="8"/>
      <c r="C7" s="17"/>
      <c r="D7" s="17"/>
      <c r="E7" s="20"/>
    </row>
    <row r="8" spans="1:9" ht="14.25" customHeight="1" x14ac:dyDescent="0.25">
      <c r="A8" s="163"/>
      <c r="B8" s="163" t="s">
        <v>90</v>
      </c>
      <c r="C8" s="163" t="s">
        <v>91</v>
      </c>
      <c r="D8" s="163" t="s">
        <v>92</v>
      </c>
      <c r="E8" s="20"/>
    </row>
    <row r="9" spans="1:9" ht="14.25" customHeight="1" x14ac:dyDescent="0.25">
      <c r="A9" s="19">
        <v>2010</v>
      </c>
      <c r="B9" s="43">
        <v>0.26600000000000001</v>
      </c>
      <c r="C9" s="43">
        <v>0.46700000000000003</v>
      </c>
      <c r="D9" s="43">
        <v>0.73299999999999998</v>
      </c>
      <c r="E9" s="35"/>
    </row>
    <row r="10" spans="1:9" ht="14.25" customHeight="1" x14ac:dyDescent="0.25">
      <c r="A10" s="19">
        <v>2011</v>
      </c>
      <c r="B10" s="43">
        <v>0.24099999999999999</v>
      </c>
      <c r="C10" s="43">
        <v>0.435</v>
      </c>
      <c r="D10" s="43">
        <v>0.67600000000000005</v>
      </c>
    </row>
    <row r="11" spans="1:9" ht="14.25" customHeight="1" x14ac:dyDescent="0.25">
      <c r="A11" s="19">
        <v>2012</v>
      </c>
      <c r="B11" s="43">
        <v>0.216</v>
      </c>
      <c r="C11" s="43">
        <v>0.42599999999999999</v>
      </c>
      <c r="D11" s="43">
        <v>0.64200000000000002</v>
      </c>
    </row>
    <row r="12" spans="1:9" ht="14.25" customHeight="1" x14ac:dyDescent="0.25">
      <c r="A12" s="19">
        <v>2013</v>
      </c>
      <c r="B12" s="43">
        <v>0.26900000000000002</v>
      </c>
      <c r="C12" s="43">
        <v>0.39900000000000002</v>
      </c>
      <c r="D12" s="43">
        <v>0.66800000000000004</v>
      </c>
    </row>
    <row r="13" spans="1:9" ht="14.25" customHeight="1" x14ac:dyDescent="0.25">
      <c r="A13" s="19">
        <v>2014</v>
      </c>
      <c r="B13" s="43">
        <v>0.52</v>
      </c>
      <c r="C13" s="43">
        <v>0.40300000000000002</v>
      </c>
      <c r="D13" s="43">
        <v>0.92300000000000004</v>
      </c>
    </row>
    <row r="14" spans="1:9" ht="14.25" customHeight="1" x14ac:dyDescent="0.25">
      <c r="A14" s="19">
        <v>2015</v>
      </c>
      <c r="B14" s="43">
        <v>0.48599999999999999</v>
      </c>
      <c r="C14" s="43">
        <v>0.375</v>
      </c>
      <c r="D14" s="43">
        <v>0.86099999999999999</v>
      </c>
    </row>
    <row r="15" spans="1:9" ht="14.25" customHeight="1" x14ac:dyDescent="0.25">
      <c r="A15" s="19">
        <v>2016</v>
      </c>
      <c r="B15" s="43">
        <v>0.29299999999999998</v>
      </c>
      <c r="C15" s="43">
        <v>0.36299999999999999</v>
      </c>
      <c r="D15" s="43">
        <v>0.65600000000000003</v>
      </c>
    </row>
    <row r="16" spans="1:9" ht="14.25" customHeight="1" x14ac:dyDescent="0.25">
      <c r="A16" s="19">
        <v>2017</v>
      </c>
      <c r="B16" s="43">
        <v>0.35</v>
      </c>
      <c r="C16" s="43">
        <v>0.311</v>
      </c>
      <c r="D16" s="43">
        <v>0.66</v>
      </c>
    </row>
    <row r="17" spans="1:5" ht="14.25" customHeight="1" x14ac:dyDescent="0.25">
      <c r="A17" s="19">
        <v>2018</v>
      </c>
      <c r="B17" s="43">
        <v>0.20499999999999999</v>
      </c>
      <c r="C17" s="43">
        <v>0.29099999999999998</v>
      </c>
      <c r="D17" s="43">
        <v>0.496</v>
      </c>
    </row>
    <row r="18" spans="1:5" ht="14.25" customHeight="1" x14ac:dyDescent="0.25">
      <c r="A18" s="19">
        <v>2019</v>
      </c>
      <c r="B18" s="43">
        <v>9.7000000000000003E-2</v>
      </c>
      <c r="C18" s="43">
        <v>0.28100000000000003</v>
      </c>
      <c r="D18" s="43">
        <v>0.378</v>
      </c>
    </row>
    <row r="19" spans="1:5" ht="14.25" customHeight="1" x14ac:dyDescent="0.25">
      <c r="A19" s="19">
        <v>2020</v>
      </c>
      <c r="B19" s="43">
        <v>0.25600000000000001</v>
      </c>
      <c r="C19" s="43">
        <v>5.5E-2</v>
      </c>
      <c r="D19" s="43">
        <v>0.311</v>
      </c>
    </row>
    <row r="20" spans="1:5" ht="14.25" customHeight="1" x14ac:dyDescent="0.25">
      <c r="A20" s="160">
        <v>2021</v>
      </c>
      <c r="B20" s="7">
        <v>0.377</v>
      </c>
      <c r="C20" s="7">
        <v>3.5999999999999997E-2</v>
      </c>
      <c r="D20" s="7">
        <v>0.41299999999999998</v>
      </c>
      <c r="E20" s="21"/>
    </row>
    <row r="21" spans="1:5" ht="14.25" customHeight="1" x14ac:dyDescent="0.25">
      <c r="A21" s="19">
        <v>2022</v>
      </c>
      <c r="B21" s="43">
        <v>0.91900000000000004</v>
      </c>
      <c r="C21" s="43">
        <v>0.109</v>
      </c>
      <c r="D21" s="43">
        <v>1.0269999999999999</v>
      </c>
      <c r="E21" s="16" t="s">
        <v>61</v>
      </c>
    </row>
    <row r="22" spans="1:5" ht="14.25" customHeight="1" x14ac:dyDescent="0.25">
      <c r="A22" s="19">
        <v>2023</v>
      </c>
      <c r="B22" s="43">
        <v>1.016</v>
      </c>
      <c r="C22" s="43">
        <v>0.123</v>
      </c>
      <c r="D22" s="43">
        <v>1.139</v>
      </c>
    </row>
    <row r="23" spans="1:5" ht="14.25" customHeight="1" x14ac:dyDescent="0.25">
      <c r="A23" s="19">
        <v>2024</v>
      </c>
      <c r="B23" s="43">
        <v>0.65200000000000002</v>
      </c>
      <c r="C23" s="43">
        <v>0.13400000000000001</v>
      </c>
      <c r="D23" s="43">
        <v>0.78600000000000003</v>
      </c>
    </row>
    <row r="24" spans="1:5" ht="14.25" customHeight="1" x14ac:dyDescent="0.25">
      <c r="A24" s="19">
        <v>2025</v>
      </c>
      <c r="B24" s="43">
        <v>0.11700000000000001</v>
      </c>
      <c r="C24" s="43">
        <v>0.113</v>
      </c>
      <c r="D24" s="43">
        <v>0.23</v>
      </c>
    </row>
    <row r="25" spans="1:5" ht="14.25" customHeight="1" x14ac:dyDescent="0.25">
      <c r="A25" s="19">
        <v>2026</v>
      </c>
      <c r="B25" s="43">
        <v>0.16400000000000001</v>
      </c>
      <c r="C25" s="43">
        <v>8.8999999999999996E-2</v>
      </c>
      <c r="D25" s="43">
        <v>0.253</v>
      </c>
    </row>
    <row r="26" spans="1:5" ht="14.25" customHeight="1" x14ac:dyDescent="0.25">
      <c r="A26" s="19">
        <v>2027</v>
      </c>
      <c r="B26" s="43">
        <v>0.19800000000000001</v>
      </c>
      <c r="C26" s="43">
        <v>6.0999999999999999E-2</v>
      </c>
      <c r="D26" s="43">
        <v>0.25900000000000001</v>
      </c>
    </row>
    <row r="27" spans="1:5" ht="14.25" customHeight="1" x14ac:dyDescent="0.25">
      <c r="A27" s="19">
        <v>2028</v>
      </c>
      <c r="B27" s="43">
        <v>0.23699999999999999</v>
      </c>
      <c r="C27" s="43">
        <v>3.7999999999999999E-2</v>
      </c>
      <c r="D27" s="43">
        <v>0.27500000000000002</v>
      </c>
    </row>
    <row r="28" spans="1:5" ht="14.25" customHeight="1" x14ac:dyDescent="0.25">
      <c r="A28" s="19">
        <v>2029</v>
      </c>
      <c r="B28" s="43">
        <v>0.27500000000000002</v>
      </c>
      <c r="C28" s="43">
        <v>1.6E-2</v>
      </c>
      <c r="D28" s="43">
        <v>0.28999999999999998</v>
      </c>
    </row>
    <row r="29" spans="1:5" ht="14.25" customHeight="1" x14ac:dyDescent="0.25">
      <c r="A29" s="19">
        <v>2030</v>
      </c>
      <c r="B29" s="43">
        <v>0.30599999999999999</v>
      </c>
      <c r="C29" s="43">
        <v>-6.0000000000000001E-3</v>
      </c>
      <c r="D29" s="43">
        <v>0.3</v>
      </c>
    </row>
    <row r="30" spans="1:5" ht="14.25" customHeight="1" x14ac:dyDescent="0.25">
      <c r="A30" s="19">
        <v>2031</v>
      </c>
      <c r="B30" s="43">
        <v>0.30499999999999999</v>
      </c>
      <c r="C30" s="43">
        <v>-2.7E-2</v>
      </c>
      <c r="D30" s="43">
        <v>0.27700000000000002</v>
      </c>
    </row>
    <row r="31" spans="1:5" ht="14.25" customHeight="1" x14ac:dyDescent="0.25">
      <c r="A31" s="19">
        <v>2032</v>
      </c>
      <c r="B31" s="43">
        <v>0.30299999999999999</v>
      </c>
      <c r="C31" s="43">
        <v>-4.8000000000000001E-2</v>
      </c>
      <c r="D31" s="43">
        <v>0.255</v>
      </c>
    </row>
    <row r="32" spans="1:5" ht="14.25" customHeight="1" x14ac:dyDescent="0.25">
      <c r="A32" s="19">
        <v>2033</v>
      </c>
      <c r="B32" s="43">
        <v>0.30499999999999999</v>
      </c>
      <c r="C32" s="43">
        <v>-6.9000000000000006E-2</v>
      </c>
      <c r="D32" s="43">
        <v>0.23699999999999999</v>
      </c>
    </row>
    <row r="33" spans="1:4" ht="14.25" customHeight="1" x14ac:dyDescent="0.25">
      <c r="A33" s="19">
        <v>2034</v>
      </c>
      <c r="B33" s="43">
        <v>0.312</v>
      </c>
      <c r="C33" s="43">
        <v>-8.7999999999999995E-2</v>
      </c>
      <c r="D33" s="43">
        <v>0.224</v>
      </c>
    </row>
    <row r="34" spans="1:4" ht="14.25" customHeight="1" x14ac:dyDescent="0.25">
      <c r="A34" s="19">
        <v>2035</v>
      </c>
      <c r="B34" s="43">
        <v>0.32300000000000001</v>
      </c>
      <c r="C34" s="43">
        <v>-0.106</v>
      </c>
      <c r="D34" s="43">
        <v>0.217</v>
      </c>
    </row>
    <row r="35" spans="1:4" ht="14.25" customHeight="1" x14ac:dyDescent="0.25">
      <c r="A35" s="19">
        <v>2036</v>
      </c>
      <c r="B35" s="43">
        <v>0.33600000000000002</v>
      </c>
      <c r="C35" s="43">
        <v>-0.123</v>
      </c>
      <c r="D35" s="43">
        <v>0.21199999999999999</v>
      </c>
    </row>
    <row r="36" spans="1:4" ht="14.25" customHeight="1" x14ac:dyDescent="0.25">
      <c r="A36" s="19">
        <v>2037</v>
      </c>
      <c r="B36" s="43">
        <v>0.33600000000000002</v>
      </c>
      <c r="C36" s="43">
        <v>-0.14000000000000001</v>
      </c>
      <c r="D36" s="43">
        <v>0.19500000000000001</v>
      </c>
    </row>
    <row r="37" spans="1:4" ht="14.25" customHeight="1" x14ac:dyDescent="0.25">
      <c r="A37" s="19">
        <v>2038</v>
      </c>
      <c r="B37" s="43">
        <v>0.33600000000000002</v>
      </c>
      <c r="C37" s="43">
        <v>-0.157</v>
      </c>
      <c r="D37" s="43">
        <v>0.17899999999999999</v>
      </c>
    </row>
    <row r="38" spans="1:4" ht="14.25" customHeight="1" x14ac:dyDescent="0.25">
      <c r="A38" s="19">
        <v>2039</v>
      </c>
      <c r="B38" s="43">
        <v>0.33600000000000002</v>
      </c>
      <c r="C38" s="43">
        <v>-0.17299999999999999</v>
      </c>
      <c r="D38" s="43">
        <v>0.16300000000000001</v>
      </c>
    </row>
    <row r="39" spans="1:4" ht="14.25" customHeight="1" x14ac:dyDescent="0.25">
      <c r="A39" s="19">
        <v>2040</v>
      </c>
      <c r="B39" s="43">
        <v>0.33600000000000002</v>
      </c>
      <c r="C39" s="43">
        <v>-0.189</v>
      </c>
      <c r="D39" s="43">
        <v>0.14699999999999999</v>
      </c>
    </row>
    <row r="40" spans="1:4" ht="14.25" customHeight="1" x14ac:dyDescent="0.25">
      <c r="A40" s="19">
        <v>2041</v>
      </c>
      <c r="B40" s="43">
        <v>0.33600000000000002</v>
      </c>
      <c r="C40" s="43">
        <v>-0.20499999999999999</v>
      </c>
      <c r="D40" s="43">
        <v>0.13200000000000001</v>
      </c>
    </row>
    <row r="41" spans="1:4" ht="14.25" customHeight="1" x14ac:dyDescent="0.25">
      <c r="A41" s="19">
        <v>2042</v>
      </c>
      <c r="B41" s="43">
        <v>0.33700000000000002</v>
      </c>
      <c r="C41" s="43">
        <v>-0.22</v>
      </c>
      <c r="D41" s="43">
        <v>0.11700000000000001</v>
      </c>
    </row>
    <row r="42" spans="1:4" ht="14.25" customHeight="1" x14ac:dyDescent="0.25">
      <c r="A42" s="19">
        <v>2043</v>
      </c>
      <c r="B42" s="43">
        <v>0.33700000000000002</v>
      </c>
      <c r="C42" s="43">
        <v>-0.23499999999999999</v>
      </c>
      <c r="D42" s="43">
        <v>0.10199999999999999</v>
      </c>
    </row>
    <row r="43" spans="1:4" ht="14.25" customHeight="1" x14ac:dyDescent="0.25">
      <c r="A43" s="19">
        <v>2044</v>
      </c>
      <c r="B43" s="43">
        <v>0.33800000000000002</v>
      </c>
      <c r="C43" s="43">
        <v>-0.249</v>
      </c>
      <c r="D43" s="43">
        <v>8.7999999999999995E-2</v>
      </c>
    </row>
    <row r="44" spans="1:4" ht="14.25" customHeight="1" x14ac:dyDescent="0.25">
      <c r="A44" s="19">
        <v>2045</v>
      </c>
      <c r="B44" s="43">
        <v>0.33800000000000002</v>
      </c>
      <c r="C44" s="43">
        <v>-0.26300000000000001</v>
      </c>
      <c r="D44" s="43">
        <v>7.4999999999999997E-2</v>
      </c>
    </row>
    <row r="45" spans="1:4" ht="14.25" customHeight="1" x14ac:dyDescent="0.25">
      <c r="A45" s="19">
        <v>2046</v>
      </c>
      <c r="B45" s="43">
        <v>0.33900000000000002</v>
      </c>
      <c r="C45" s="43">
        <v>-0.27500000000000002</v>
      </c>
      <c r="D45" s="43">
        <v>6.3E-2</v>
      </c>
    </row>
    <row r="46" spans="1:4" ht="14.25" customHeight="1" x14ac:dyDescent="0.25">
      <c r="A46" s="19">
        <v>2047</v>
      </c>
      <c r="B46" s="43">
        <v>0.33900000000000002</v>
      </c>
      <c r="C46" s="43">
        <v>-0.28699999999999998</v>
      </c>
      <c r="D46" s="43">
        <v>5.1999999999999998E-2</v>
      </c>
    </row>
    <row r="47" spans="1:4" ht="14.25" customHeight="1" x14ac:dyDescent="0.25">
      <c r="A47" s="19">
        <v>2048</v>
      </c>
      <c r="B47" s="43">
        <v>0.33900000000000002</v>
      </c>
      <c r="C47" s="43">
        <v>-0.29699999999999999</v>
      </c>
      <c r="D47" s="43">
        <v>4.1000000000000002E-2</v>
      </c>
    </row>
    <row r="48" spans="1:4" ht="14.25" customHeight="1" x14ac:dyDescent="0.25">
      <c r="A48" s="19">
        <v>2049</v>
      </c>
      <c r="B48" s="43">
        <v>0.33900000000000002</v>
      </c>
      <c r="C48" s="43">
        <v>-0.30599999999999999</v>
      </c>
      <c r="D48" s="43">
        <v>3.2000000000000001E-2</v>
      </c>
    </row>
    <row r="49" spans="1:5" ht="14.25" customHeight="1" x14ac:dyDescent="0.25">
      <c r="A49" s="19">
        <v>2050</v>
      </c>
      <c r="B49" s="43">
        <v>0.33800000000000002</v>
      </c>
      <c r="C49" s="43">
        <v>-0.315</v>
      </c>
      <c r="D49" s="43">
        <v>2.4E-2</v>
      </c>
    </row>
    <row r="50" spans="1:5" ht="14.25" customHeight="1" x14ac:dyDescent="0.25">
      <c r="A50" s="19">
        <v>2051</v>
      </c>
      <c r="B50" s="43">
        <v>0.33800000000000002</v>
      </c>
      <c r="C50" s="43">
        <v>-0.32100000000000001</v>
      </c>
      <c r="D50" s="43">
        <v>1.7000000000000001E-2</v>
      </c>
    </row>
    <row r="51" spans="1:5" ht="14.25" customHeight="1" x14ac:dyDescent="0.25">
      <c r="A51" s="19">
        <v>2052</v>
      </c>
      <c r="B51" s="43">
        <v>0.33800000000000002</v>
      </c>
      <c r="C51" s="43">
        <v>-0.32700000000000001</v>
      </c>
      <c r="D51" s="43">
        <v>1.0999999999999999E-2</v>
      </c>
    </row>
    <row r="52" spans="1:5" ht="14.25" customHeight="1" x14ac:dyDescent="0.25">
      <c r="A52" s="19">
        <v>2053</v>
      </c>
      <c r="B52" s="43">
        <v>0.33800000000000002</v>
      </c>
      <c r="C52" s="43">
        <v>-0.33100000000000002</v>
      </c>
      <c r="D52" s="43">
        <v>7.0000000000000001E-3</v>
      </c>
    </row>
    <row r="53" spans="1:5" ht="14.25" customHeight="1" x14ac:dyDescent="0.25">
      <c r="A53" s="19">
        <v>2054</v>
      </c>
      <c r="B53" s="43">
        <v>0.33800000000000002</v>
      </c>
      <c r="C53" s="43">
        <v>-0.33500000000000002</v>
      </c>
      <c r="D53" s="43">
        <v>4.0000000000000001E-3</v>
      </c>
      <c r="E53" s="41"/>
    </row>
    <row r="54" spans="1:5" ht="14.25" customHeight="1" x14ac:dyDescent="0.25">
      <c r="A54" s="19">
        <v>2055</v>
      </c>
      <c r="B54" s="43">
        <v>0.33800000000000002</v>
      </c>
      <c r="C54" s="43">
        <v>-0.33700000000000002</v>
      </c>
      <c r="D54" s="43">
        <v>1E-3</v>
      </c>
      <c r="E54" s="41"/>
    </row>
    <row r="55" spans="1:5" ht="14.25" customHeight="1" x14ac:dyDescent="0.25">
      <c r="A55" s="19">
        <v>2056</v>
      </c>
      <c r="B55" s="43">
        <v>0.33800000000000002</v>
      </c>
      <c r="C55" s="43">
        <v>-0.33900000000000002</v>
      </c>
      <c r="D55" s="43">
        <v>0</v>
      </c>
      <c r="E55" s="41"/>
    </row>
    <row r="56" spans="1:5" ht="14.25" customHeight="1" x14ac:dyDescent="0.25">
      <c r="A56" s="160"/>
      <c r="B56" s="160"/>
      <c r="C56" s="163"/>
      <c r="D56" s="163"/>
    </row>
    <row r="57" spans="1:5" ht="14.25" customHeight="1" x14ac:dyDescent="0.25">
      <c r="A57" s="19"/>
    </row>
    <row r="58" spans="1:5" ht="14.25" customHeight="1" x14ac:dyDescent="0.25">
      <c r="A58" s="214" t="s">
        <v>73</v>
      </c>
      <c r="B58" s="214"/>
      <c r="C58" s="214"/>
      <c r="D58" s="214"/>
    </row>
    <row r="59" spans="1:5" ht="87" customHeight="1" x14ac:dyDescent="0.25">
      <c r="A59" s="208" t="s">
        <v>181</v>
      </c>
      <c r="B59" s="208"/>
      <c r="C59" s="208"/>
      <c r="D59" s="208"/>
    </row>
    <row r="60" spans="1:5" ht="15" customHeight="1" x14ac:dyDescent="0.25">
      <c r="A60" s="76"/>
      <c r="B60" s="76"/>
      <c r="C60" s="76"/>
      <c r="D60" s="76"/>
    </row>
    <row r="61" spans="1:5" ht="15" customHeight="1" x14ac:dyDescent="0.25">
      <c r="A61" s="167"/>
      <c r="B61" s="167"/>
      <c r="C61" s="167"/>
      <c r="D61" s="167"/>
    </row>
    <row r="62" spans="1:5" ht="14.25" customHeight="1" x14ac:dyDescent="0.25">
      <c r="A62" s="186" t="s">
        <v>23</v>
      </c>
    </row>
    <row r="63" spans="1:5" ht="14.25" customHeight="1" x14ac:dyDescent="0.25">
      <c r="A63" s="19"/>
    </row>
    <row r="64" spans="1:5" ht="14.25" customHeight="1" x14ac:dyDescent="0.25">
      <c r="A64" s="19"/>
    </row>
    <row r="65" spans="1:1" ht="14.25" customHeight="1" x14ac:dyDescent="0.25">
      <c r="A65" s="19"/>
    </row>
    <row r="66" spans="1:1" ht="14.25" customHeight="1" x14ac:dyDescent="0.25">
      <c r="A66" s="19"/>
    </row>
    <row r="67" spans="1:1" ht="14.25" customHeight="1" x14ac:dyDescent="0.25">
      <c r="A67" s="19"/>
    </row>
    <row r="68" spans="1:1" ht="14.25" customHeight="1" x14ac:dyDescent="0.25">
      <c r="A68" s="19"/>
    </row>
    <row r="69" spans="1:1" ht="14.25" customHeight="1" x14ac:dyDescent="0.25">
      <c r="A69" s="19"/>
    </row>
    <row r="70" spans="1:1" ht="14.25" customHeight="1" x14ac:dyDescent="0.25">
      <c r="A70" s="19"/>
    </row>
    <row r="71" spans="1:1" ht="14.25" customHeight="1" x14ac:dyDescent="0.25">
      <c r="A71" s="19"/>
    </row>
    <row r="72" spans="1:1" ht="14.25" customHeight="1" x14ac:dyDescent="0.25">
      <c r="A72" s="19"/>
    </row>
    <row r="73" spans="1:1" ht="14.25" customHeight="1" x14ac:dyDescent="0.25">
      <c r="A73" s="19"/>
    </row>
    <row r="74" spans="1:1" ht="14.25" customHeight="1" x14ac:dyDescent="0.25">
      <c r="A74" s="19"/>
    </row>
    <row r="75" spans="1:1" ht="14.25" customHeight="1" x14ac:dyDescent="0.25">
      <c r="A75" s="19"/>
    </row>
    <row r="76" spans="1:1" ht="14.25" customHeight="1" x14ac:dyDescent="0.25">
      <c r="A76" s="19"/>
    </row>
    <row r="77" spans="1:1" ht="14.25" customHeight="1" x14ac:dyDescent="0.25">
      <c r="A77" s="19"/>
    </row>
    <row r="78" spans="1:1" ht="14.25" customHeight="1" x14ac:dyDescent="0.25">
      <c r="A78" s="19"/>
    </row>
    <row r="79" spans="1:1" ht="14.25" customHeight="1" x14ac:dyDescent="0.25">
      <c r="A79" s="19"/>
    </row>
    <row r="80" spans="1:1" ht="14.25" customHeight="1" x14ac:dyDescent="0.25">
      <c r="A80" s="19"/>
    </row>
    <row r="81" spans="1:1" ht="14.25" customHeight="1" x14ac:dyDescent="0.25">
      <c r="A81" s="19"/>
    </row>
    <row r="82" spans="1:1" ht="14.25" customHeight="1" x14ac:dyDescent="0.25">
      <c r="A82" s="19"/>
    </row>
    <row r="83" spans="1:1" ht="14.25" customHeight="1" x14ac:dyDescent="0.25">
      <c r="A83" s="19"/>
    </row>
    <row r="84" spans="1:1" ht="14.25" customHeight="1" x14ac:dyDescent="0.25">
      <c r="A84" s="19"/>
    </row>
    <row r="85" spans="1:1" ht="14.25" customHeight="1" x14ac:dyDescent="0.25">
      <c r="A85" s="19"/>
    </row>
    <row r="86" spans="1:1" ht="14.25" customHeight="1" x14ac:dyDescent="0.25">
      <c r="A86" s="19"/>
    </row>
    <row r="87" spans="1:1" ht="14.25" customHeight="1" x14ac:dyDescent="0.25">
      <c r="A87" s="19"/>
    </row>
    <row r="88" spans="1:1" ht="14.25" customHeight="1" x14ac:dyDescent="0.25">
      <c r="A88" s="19"/>
    </row>
    <row r="89" spans="1:1" ht="14.25" customHeight="1" x14ac:dyDescent="0.25">
      <c r="A89" s="19"/>
    </row>
    <row r="90" spans="1:1" ht="14.25" customHeight="1" x14ac:dyDescent="0.25">
      <c r="A90" s="19"/>
    </row>
    <row r="91" spans="1:1" ht="14.25" customHeight="1" x14ac:dyDescent="0.25">
      <c r="A91" s="19"/>
    </row>
    <row r="92" spans="1:1" ht="14.25" customHeight="1" x14ac:dyDescent="0.25">
      <c r="A92" s="19"/>
    </row>
    <row r="93" spans="1:1" ht="14.25" customHeight="1" x14ac:dyDescent="0.25">
      <c r="A93" s="19"/>
    </row>
    <row r="94" spans="1:1" ht="14.25" customHeight="1" x14ac:dyDescent="0.25">
      <c r="A94" s="19"/>
    </row>
    <row r="95" spans="1:1" ht="14.25" customHeight="1" x14ac:dyDescent="0.25">
      <c r="A95" s="19"/>
    </row>
    <row r="96" spans="1:1" ht="14.25" customHeight="1" x14ac:dyDescent="0.25">
      <c r="A96" s="19"/>
    </row>
    <row r="97" spans="1:1" ht="14.25" customHeight="1" x14ac:dyDescent="0.25">
      <c r="A97" s="19"/>
    </row>
    <row r="98" spans="1:1" ht="14.25" customHeight="1" x14ac:dyDescent="0.25">
      <c r="A98" s="19"/>
    </row>
    <row r="99" spans="1:1" ht="14.25" customHeight="1" x14ac:dyDescent="0.25">
      <c r="A99" s="19"/>
    </row>
    <row r="100" spans="1:1" ht="14.25" customHeight="1" x14ac:dyDescent="0.25">
      <c r="A100" s="19"/>
    </row>
    <row r="101" spans="1:1" ht="14.25" customHeight="1" x14ac:dyDescent="0.25">
      <c r="A101" s="19"/>
    </row>
    <row r="102" spans="1:1" ht="14.25" customHeight="1" x14ac:dyDescent="0.25">
      <c r="A102" s="19"/>
    </row>
    <row r="103" spans="1:1" ht="14.25" customHeight="1" x14ac:dyDescent="0.25">
      <c r="A103" s="19"/>
    </row>
    <row r="104" spans="1:1" ht="14.25" customHeight="1" x14ac:dyDescent="0.25">
      <c r="A104" s="19"/>
    </row>
    <row r="105" spans="1:1" ht="14.25" customHeight="1" x14ac:dyDescent="0.25">
      <c r="A105" s="19"/>
    </row>
    <row r="106" spans="1:1" ht="14.25" customHeight="1" x14ac:dyDescent="0.25">
      <c r="A106" s="19"/>
    </row>
    <row r="107" spans="1:1" ht="14.25" customHeight="1" x14ac:dyDescent="0.25">
      <c r="A107" s="19"/>
    </row>
    <row r="108" spans="1:1" ht="14.25" customHeight="1" x14ac:dyDescent="0.25">
      <c r="A108" s="19"/>
    </row>
    <row r="109" spans="1:1" ht="14.25" customHeight="1" x14ac:dyDescent="0.25">
      <c r="A109" s="19"/>
    </row>
    <row r="110" spans="1:1" ht="14.25" customHeight="1" x14ac:dyDescent="0.25">
      <c r="A110" s="19"/>
    </row>
    <row r="111" spans="1:1" ht="14.25" customHeight="1" x14ac:dyDescent="0.25">
      <c r="A111" s="19"/>
    </row>
    <row r="112" spans="1:1" ht="14.25" customHeight="1" x14ac:dyDescent="0.25">
      <c r="A112" s="19"/>
    </row>
    <row r="113" spans="1:1" ht="14.25" customHeight="1" x14ac:dyDescent="0.25">
      <c r="A113" s="19"/>
    </row>
    <row r="114" spans="1:1" ht="14.25" customHeight="1" x14ac:dyDescent="0.25">
      <c r="A114" s="19"/>
    </row>
    <row r="115" spans="1:1" ht="14.25" customHeight="1" x14ac:dyDescent="0.25">
      <c r="A115" s="19"/>
    </row>
    <row r="116" spans="1:1" ht="14.25" customHeight="1" x14ac:dyDescent="0.25">
      <c r="A116" s="19"/>
    </row>
    <row r="117" spans="1:1" ht="14.25" customHeight="1" x14ac:dyDescent="0.25">
      <c r="A117" s="19"/>
    </row>
    <row r="118" spans="1:1" ht="14.25" customHeight="1" x14ac:dyDescent="0.25">
      <c r="A118" s="19"/>
    </row>
    <row r="119" spans="1:1" ht="14.25" customHeight="1" x14ac:dyDescent="0.25">
      <c r="A119" s="19"/>
    </row>
    <row r="120" spans="1:1" ht="14.25" customHeight="1" x14ac:dyDescent="0.25"/>
    <row r="121" spans="1:1" ht="14.25" customHeight="1" x14ac:dyDescent="0.25"/>
    <row r="122" spans="1:1" ht="14.25" customHeight="1" x14ac:dyDescent="0.25"/>
    <row r="123" spans="1:1" ht="14.25" customHeight="1" x14ac:dyDescent="0.25"/>
    <row r="124" spans="1:1" ht="14.25" customHeight="1" x14ac:dyDescent="0.25"/>
    <row r="125" spans="1:1" ht="14.25" customHeight="1" x14ac:dyDescent="0.25"/>
    <row r="126" spans="1:1" ht="14.25" customHeight="1" x14ac:dyDescent="0.25"/>
    <row r="127" spans="1:1" ht="14.25" customHeight="1" x14ac:dyDescent="0.25"/>
    <row r="128" spans="1:1"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sheetData>
  <mergeCells count="3">
    <mergeCell ref="A5:D5"/>
    <mergeCell ref="A58:D58"/>
    <mergeCell ref="A59:D59"/>
  </mergeCells>
  <hyperlinks>
    <hyperlink ref="A62" location="Contents!A1" display="Back to Table of Contents" xr:uid="{75EB1F2A-F6A7-4DBB-A267-937369C5DB8B}"/>
    <hyperlink ref="A2" r:id="rId1" xr:uid="{2E832D5A-EB55-6B4B-9680-FC14F7F5E90A}"/>
  </hyperlinks>
  <pageMargins left="0.7" right="0.7" top="0.75" bottom="0.75" header="0.3" footer="0.3"/>
  <pageSetup scale="78"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BAA8F-69E0-4F8D-9AAB-C091C048EB3C}">
  <sheetPr codeName="Sheet15">
    <pageSetUpPr fitToPage="1"/>
  </sheetPr>
  <dimension ref="A1:I164"/>
  <sheetViews>
    <sheetView zoomScaleNormal="100" workbookViewId="0"/>
  </sheetViews>
  <sheetFormatPr defaultColWidth="8.44140625" defaultRowHeight="15" customHeight="1" x14ac:dyDescent="0.25"/>
  <cols>
    <col min="1" max="1" width="8.109375" style="20" customWidth="1"/>
    <col min="2" max="2" width="14.44140625" style="19" customWidth="1"/>
    <col min="3" max="4" width="14.44140625" style="20" customWidth="1"/>
    <col min="5" max="6" width="14.44140625" style="16" customWidth="1"/>
    <col min="7" max="7" width="9.77734375" style="16" customWidth="1"/>
    <col min="8" max="8" width="15" style="16" bestFit="1" customWidth="1"/>
    <col min="9" max="9" width="14.44140625" style="16" bestFit="1" customWidth="1"/>
    <col min="10" max="92" width="8.44140625" style="16" customWidth="1"/>
    <col min="93" max="16384" width="8.44140625" style="16"/>
  </cols>
  <sheetData>
    <row r="1" spans="1:9" ht="14.25" customHeight="1" x14ac:dyDescent="0.3">
      <c r="A1" s="24" t="s">
        <v>215</v>
      </c>
      <c r="B1" s="16"/>
      <c r="C1" s="16"/>
      <c r="D1" s="16"/>
    </row>
    <row r="2" spans="1:9" ht="14.25" customHeight="1" x14ac:dyDescent="0.25">
      <c r="A2" s="186" t="s">
        <v>0</v>
      </c>
      <c r="B2" s="16"/>
      <c r="C2" s="16"/>
      <c r="D2" s="16"/>
    </row>
    <row r="3" spans="1:9" ht="14.25" customHeight="1" x14ac:dyDescent="0.25">
      <c r="A3" s="19"/>
      <c r="C3" s="19"/>
      <c r="D3" s="16"/>
    </row>
    <row r="4" spans="1:9" ht="14.25" customHeight="1" x14ac:dyDescent="0.25">
      <c r="B4" s="153"/>
      <c r="C4" s="153"/>
      <c r="D4" s="1"/>
      <c r="E4" s="1"/>
      <c r="F4" s="1"/>
      <c r="G4" s="1"/>
      <c r="H4" s="1"/>
      <c r="I4" s="1"/>
    </row>
    <row r="5" spans="1:9" ht="30" customHeight="1" x14ac:dyDescent="0.25">
      <c r="A5" s="194" t="s">
        <v>163</v>
      </c>
      <c r="B5" s="194"/>
      <c r="C5" s="194"/>
      <c r="D5" s="194"/>
      <c r="E5" s="194"/>
      <c r="F5" s="194"/>
      <c r="G5" s="12"/>
      <c r="H5" s="12"/>
      <c r="I5" s="12"/>
    </row>
    <row r="6" spans="1:9" ht="14.25" customHeight="1" x14ac:dyDescent="0.25">
      <c r="A6" s="19" t="s">
        <v>93</v>
      </c>
      <c r="C6" s="19"/>
      <c r="D6" s="16"/>
      <c r="F6" s="20"/>
      <c r="G6" s="20"/>
      <c r="H6" s="20"/>
      <c r="I6" s="20"/>
    </row>
    <row r="7" spans="1:9" ht="14.25" customHeight="1" x14ac:dyDescent="0.25">
      <c r="A7" s="17"/>
      <c r="B7" s="8"/>
      <c r="C7" s="17"/>
      <c r="D7" s="17"/>
      <c r="E7" s="17"/>
      <c r="F7" s="17"/>
    </row>
    <row r="8" spans="1:9" ht="14.25" customHeight="1" x14ac:dyDescent="0.25">
      <c r="A8" s="163"/>
      <c r="B8" s="163" t="s">
        <v>94</v>
      </c>
      <c r="C8" s="163" t="s">
        <v>95</v>
      </c>
      <c r="D8" s="163" t="s">
        <v>96</v>
      </c>
      <c r="E8" s="163" t="s">
        <v>97</v>
      </c>
      <c r="F8" s="163" t="s">
        <v>7</v>
      </c>
    </row>
    <row r="9" spans="1:9" ht="14.25" customHeight="1" x14ac:dyDescent="0.25">
      <c r="A9" s="19">
        <v>1985</v>
      </c>
      <c r="B9" s="43">
        <v>95.049000000000007</v>
      </c>
      <c r="C9" s="43">
        <v>98.873000000000005</v>
      </c>
      <c r="D9" s="43">
        <v>22.712</v>
      </c>
      <c r="E9" s="43">
        <v>28.843</v>
      </c>
      <c r="F9" s="43">
        <v>245.47800000000001</v>
      </c>
    </row>
    <row r="10" spans="1:9" ht="14.25" customHeight="1" x14ac:dyDescent="0.25">
      <c r="A10" s="19">
        <v>1986</v>
      </c>
      <c r="B10" s="43">
        <v>94.762</v>
      </c>
      <c r="C10" s="43">
        <v>101.048</v>
      </c>
      <c r="D10" s="43">
        <v>22.614999999999998</v>
      </c>
      <c r="E10" s="43">
        <v>29.422000000000001</v>
      </c>
      <c r="F10" s="43">
        <v>247.84800000000001</v>
      </c>
    </row>
    <row r="11" spans="1:9" ht="14.25" customHeight="1" x14ac:dyDescent="0.25">
      <c r="A11" s="19">
        <v>1987</v>
      </c>
      <c r="B11" s="43">
        <v>94.366</v>
      </c>
      <c r="C11" s="43">
        <v>103.379</v>
      </c>
      <c r="D11" s="43">
        <v>22.446000000000002</v>
      </c>
      <c r="E11" s="43">
        <v>30.05</v>
      </c>
      <c r="F11" s="43">
        <v>250.24100000000001</v>
      </c>
    </row>
    <row r="12" spans="1:9" ht="14.25" customHeight="1" x14ac:dyDescent="0.25">
      <c r="A12" s="19">
        <v>1988</v>
      </c>
      <c r="B12" s="43">
        <v>94.153999999999996</v>
      </c>
      <c r="C12" s="43">
        <v>105.69199999999999</v>
      </c>
      <c r="D12" s="43">
        <v>22.224</v>
      </c>
      <c r="E12" s="43">
        <v>30.622</v>
      </c>
      <c r="F12" s="43">
        <v>252.69300000000001</v>
      </c>
    </row>
    <row r="13" spans="1:9" ht="14.25" customHeight="1" x14ac:dyDescent="0.25">
      <c r="A13" s="19">
        <v>1989</v>
      </c>
      <c r="B13" s="43">
        <v>94.100999999999999</v>
      </c>
      <c r="C13" s="43">
        <v>107.976</v>
      </c>
      <c r="D13" s="43">
        <v>22.003</v>
      </c>
      <c r="E13" s="43">
        <v>31.128</v>
      </c>
      <c r="F13" s="43">
        <v>255.208</v>
      </c>
    </row>
    <row r="14" spans="1:9" ht="14.25" customHeight="1" x14ac:dyDescent="0.25">
      <c r="A14" s="19">
        <v>1990</v>
      </c>
      <c r="B14" s="43">
        <v>94.198999999999998</v>
      </c>
      <c r="C14" s="43">
        <v>110.205</v>
      </c>
      <c r="D14" s="43">
        <v>21.863</v>
      </c>
      <c r="E14" s="43">
        <v>31.65</v>
      </c>
      <c r="F14" s="43">
        <v>257.916</v>
      </c>
    </row>
    <row r="15" spans="1:9" ht="14.25" customHeight="1" x14ac:dyDescent="0.25">
      <c r="A15" s="19">
        <v>1991</v>
      </c>
      <c r="B15" s="43">
        <v>94.94</v>
      </c>
      <c r="C15" s="43">
        <v>112.146</v>
      </c>
      <c r="D15" s="43">
        <v>21.76</v>
      </c>
      <c r="E15" s="43">
        <v>32.216000000000001</v>
      </c>
      <c r="F15" s="43">
        <v>261.06099999999998</v>
      </c>
    </row>
    <row r="16" spans="1:9" ht="14.25" customHeight="1" x14ac:dyDescent="0.25">
      <c r="A16" s="19">
        <v>1992</v>
      </c>
      <c r="B16" s="43">
        <v>95.753</v>
      </c>
      <c r="C16" s="43">
        <v>113.971</v>
      </c>
      <c r="D16" s="43">
        <v>21.68</v>
      </c>
      <c r="E16" s="43">
        <v>32.771999999999998</v>
      </c>
      <c r="F16" s="43">
        <v>264.17599999999999</v>
      </c>
    </row>
    <row r="17" spans="1:6" ht="14.25" customHeight="1" x14ac:dyDescent="0.25">
      <c r="A17" s="19">
        <v>1993</v>
      </c>
      <c r="B17" s="43">
        <v>96.591999999999999</v>
      </c>
      <c r="C17" s="43">
        <v>115.66800000000001</v>
      </c>
      <c r="D17" s="43">
        <v>21.687000000000001</v>
      </c>
      <c r="E17" s="43">
        <v>33.302</v>
      </c>
      <c r="F17" s="43">
        <v>267.25</v>
      </c>
    </row>
    <row r="18" spans="1:6" ht="14.25" customHeight="1" x14ac:dyDescent="0.25">
      <c r="A18" s="19">
        <v>1994</v>
      </c>
      <c r="B18" s="43">
        <v>97.346999999999994</v>
      </c>
      <c r="C18" s="43">
        <v>117.277</v>
      </c>
      <c r="D18" s="43">
        <v>21.812999999999999</v>
      </c>
      <c r="E18" s="43">
        <v>33.737000000000002</v>
      </c>
      <c r="F18" s="43">
        <v>270.17399999999998</v>
      </c>
    </row>
    <row r="19" spans="1:6" ht="14.25" customHeight="1" x14ac:dyDescent="0.25">
      <c r="A19" s="19">
        <v>1995</v>
      </c>
      <c r="B19" s="43">
        <v>97.932000000000002</v>
      </c>
      <c r="C19" s="43">
        <v>118.992</v>
      </c>
      <c r="D19" s="43">
        <v>21.952999999999999</v>
      </c>
      <c r="E19" s="43">
        <v>34.131</v>
      </c>
      <c r="F19" s="43">
        <v>273.00799999999998</v>
      </c>
    </row>
    <row r="20" spans="1:6" ht="14.25" customHeight="1" x14ac:dyDescent="0.25">
      <c r="A20" s="19">
        <v>1996</v>
      </c>
      <c r="B20" s="43">
        <v>98.293000000000006</v>
      </c>
      <c r="C20" s="43">
        <v>120.779</v>
      </c>
      <c r="D20" s="43">
        <v>22.151</v>
      </c>
      <c r="E20" s="43">
        <v>34.472000000000001</v>
      </c>
      <c r="F20" s="43">
        <v>275.69600000000003</v>
      </c>
    </row>
    <row r="21" spans="1:6" ht="14.25" customHeight="1" x14ac:dyDescent="0.25">
      <c r="A21" s="19">
        <v>1997</v>
      </c>
      <c r="B21" s="43">
        <v>98.725999999999999</v>
      </c>
      <c r="C21" s="43">
        <v>122.337</v>
      </c>
      <c r="D21" s="43">
        <v>22.527000000000001</v>
      </c>
      <c r="E21" s="43">
        <v>34.786999999999999</v>
      </c>
      <c r="F21" s="43">
        <v>278.37700000000001</v>
      </c>
    </row>
    <row r="22" spans="1:6" ht="14.25" customHeight="1" x14ac:dyDescent="0.25">
      <c r="A22" s="19">
        <v>1998</v>
      </c>
      <c r="B22" s="43">
        <v>99.397999999999996</v>
      </c>
      <c r="C22" s="43">
        <v>123.371</v>
      </c>
      <c r="D22" s="43">
        <v>23.224</v>
      </c>
      <c r="E22" s="43">
        <v>35.020000000000003</v>
      </c>
      <c r="F22" s="43">
        <v>281.01299999999998</v>
      </c>
    </row>
    <row r="23" spans="1:6" ht="14.25" customHeight="1" x14ac:dyDescent="0.25">
      <c r="A23" s="19">
        <v>1999</v>
      </c>
      <c r="B23" s="43">
        <v>100.172</v>
      </c>
      <c r="C23" s="43">
        <v>124.211</v>
      </c>
      <c r="D23" s="43">
        <v>24.067</v>
      </c>
      <c r="E23" s="43">
        <v>35.204999999999998</v>
      </c>
      <c r="F23" s="43">
        <v>283.65499999999997</v>
      </c>
    </row>
    <row r="24" spans="1:6" ht="14.25" customHeight="1" x14ac:dyDescent="0.25">
      <c r="A24" s="19">
        <v>2000</v>
      </c>
      <c r="B24" s="43">
        <v>100.91500000000001</v>
      </c>
      <c r="C24" s="43">
        <v>125.224</v>
      </c>
      <c r="D24" s="43">
        <v>24.741</v>
      </c>
      <c r="E24" s="43">
        <v>35.399000000000001</v>
      </c>
      <c r="F24" s="43">
        <v>286.279</v>
      </c>
    </row>
    <row r="25" spans="1:6" ht="14.25" customHeight="1" x14ac:dyDescent="0.25">
      <c r="A25" s="19">
        <v>2001</v>
      </c>
      <c r="B25" s="43">
        <v>101.848</v>
      </c>
      <c r="C25" s="43">
        <v>126.28</v>
      </c>
      <c r="D25" s="43">
        <v>25.305</v>
      </c>
      <c r="E25" s="43">
        <v>35.610999999999997</v>
      </c>
      <c r="F25" s="43">
        <v>289.04399999999998</v>
      </c>
    </row>
    <row r="26" spans="1:6" ht="14.25" customHeight="1" x14ac:dyDescent="0.25">
      <c r="A26" s="19">
        <v>2002</v>
      </c>
      <c r="B26" s="43">
        <v>102.72199999999999</v>
      </c>
      <c r="C26" s="43">
        <v>126.883</v>
      </c>
      <c r="D26" s="43">
        <v>26.442</v>
      </c>
      <c r="E26" s="43">
        <v>35.834000000000003</v>
      </c>
      <c r="F26" s="43">
        <v>291.88099999999997</v>
      </c>
    </row>
    <row r="27" spans="1:6" ht="14.25" customHeight="1" x14ac:dyDescent="0.25">
      <c r="A27" s="19">
        <v>2003</v>
      </c>
      <c r="B27" s="43">
        <v>103.384</v>
      </c>
      <c r="C27" s="43">
        <v>127.217</v>
      </c>
      <c r="D27" s="43">
        <v>27.904</v>
      </c>
      <c r="E27" s="43">
        <v>36.116999999999997</v>
      </c>
      <c r="F27" s="43">
        <v>294.62099999999998</v>
      </c>
    </row>
    <row r="28" spans="1:6" ht="14.25" customHeight="1" x14ac:dyDescent="0.25">
      <c r="A28" s="19">
        <v>2004</v>
      </c>
      <c r="B28" s="43">
        <v>104.051</v>
      </c>
      <c r="C28" s="43">
        <v>127.627</v>
      </c>
      <c r="D28" s="43">
        <v>29.1</v>
      </c>
      <c r="E28" s="43">
        <v>36.500999999999998</v>
      </c>
      <c r="F28" s="43">
        <v>297.279</v>
      </c>
    </row>
    <row r="29" spans="1:6" ht="14.25" customHeight="1" x14ac:dyDescent="0.25">
      <c r="A29" s="19">
        <v>2005</v>
      </c>
      <c r="B29" s="43">
        <v>104.63200000000001</v>
      </c>
      <c r="C29" s="43">
        <v>128.30600000000001</v>
      </c>
      <c r="D29" s="43">
        <v>30.343</v>
      </c>
      <c r="E29" s="43">
        <v>36.905000000000001</v>
      </c>
      <c r="F29" s="43">
        <v>300.18599999999998</v>
      </c>
    </row>
    <row r="30" spans="1:6" ht="14.25" customHeight="1" x14ac:dyDescent="0.25">
      <c r="A30" s="19">
        <v>2006</v>
      </c>
      <c r="B30" s="43">
        <v>105.34399999999999</v>
      </c>
      <c r="C30" s="43">
        <v>129.328</v>
      </c>
      <c r="D30" s="43">
        <v>31.553000000000001</v>
      </c>
      <c r="E30" s="43">
        <v>37.406999999999996</v>
      </c>
      <c r="F30" s="43">
        <v>303.63200000000001</v>
      </c>
    </row>
    <row r="31" spans="1:6" ht="14.25" customHeight="1" x14ac:dyDescent="0.25">
      <c r="A31" s="19">
        <v>2007</v>
      </c>
      <c r="B31" s="43">
        <v>106.14700000000001</v>
      </c>
      <c r="C31" s="43">
        <v>130.06100000000001</v>
      </c>
      <c r="D31" s="43">
        <v>32.795000000000002</v>
      </c>
      <c r="E31" s="43">
        <v>38.027999999999999</v>
      </c>
      <c r="F31" s="43">
        <v>307.03100000000001</v>
      </c>
    </row>
    <row r="32" spans="1:6" ht="14.25" customHeight="1" x14ac:dyDescent="0.25">
      <c r="A32" s="19">
        <v>2008</v>
      </c>
      <c r="B32" s="43">
        <v>106.773</v>
      </c>
      <c r="C32" s="43">
        <v>130.15600000000001</v>
      </c>
      <c r="D32" s="43">
        <v>33.844000000000001</v>
      </c>
      <c r="E32" s="43">
        <v>38.917999999999999</v>
      </c>
      <c r="F32" s="43">
        <v>309.69099999999997</v>
      </c>
    </row>
    <row r="33" spans="1:7" ht="14.25" customHeight="1" x14ac:dyDescent="0.25">
      <c r="A33" s="19">
        <v>2009</v>
      </c>
      <c r="B33" s="43">
        <v>107.137</v>
      </c>
      <c r="C33" s="43">
        <v>129.73500000000001</v>
      </c>
      <c r="D33" s="43">
        <v>34.828000000000003</v>
      </c>
      <c r="E33" s="43">
        <v>39.81</v>
      </c>
      <c r="F33" s="43">
        <v>311.51</v>
      </c>
    </row>
    <row r="34" spans="1:7" ht="14.25" customHeight="1" x14ac:dyDescent="0.25">
      <c r="A34" s="19">
        <v>2010</v>
      </c>
      <c r="B34" s="43">
        <v>107.622</v>
      </c>
      <c r="C34" s="43">
        <v>129.624</v>
      </c>
      <c r="D34" s="43">
        <v>36.061</v>
      </c>
      <c r="E34" s="43">
        <v>40.680999999999997</v>
      </c>
      <c r="F34" s="43">
        <v>313.988</v>
      </c>
    </row>
    <row r="35" spans="1:7" ht="14.25" customHeight="1" x14ac:dyDescent="0.25">
      <c r="A35" s="19">
        <v>2011</v>
      </c>
      <c r="B35" s="43">
        <v>107.63800000000001</v>
      </c>
      <c r="C35" s="43">
        <v>129.744</v>
      </c>
      <c r="D35" s="43">
        <v>37.508000000000003</v>
      </c>
      <c r="E35" s="43">
        <v>41.4</v>
      </c>
      <c r="F35" s="43">
        <v>316.29000000000002</v>
      </c>
    </row>
    <row r="36" spans="1:7" ht="14.25" customHeight="1" x14ac:dyDescent="0.25">
      <c r="A36" s="19">
        <v>2012</v>
      </c>
      <c r="B36" s="43">
        <v>107.67100000000001</v>
      </c>
      <c r="C36" s="43">
        <v>129.63800000000001</v>
      </c>
      <c r="D36" s="43">
        <v>38.491</v>
      </c>
      <c r="E36" s="43">
        <v>42.628</v>
      </c>
      <c r="F36" s="43">
        <v>318.428</v>
      </c>
    </row>
    <row r="37" spans="1:7" ht="14.25" customHeight="1" x14ac:dyDescent="0.25">
      <c r="A37" s="19">
        <v>2013</v>
      </c>
      <c r="B37" s="43">
        <v>107.563</v>
      </c>
      <c r="C37" s="43">
        <v>129.477</v>
      </c>
      <c r="D37" s="43">
        <v>39.225999999999999</v>
      </c>
      <c r="E37" s="43">
        <v>44.206000000000003</v>
      </c>
      <c r="F37" s="43">
        <v>320.47300000000001</v>
      </c>
    </row>
    <row r="38" spans="1:7" ht="14.25" customHeight="1" x14ac:dyDescent="0.25">
      <c r="A38" s="19">
        <v>2014</v>
      </c>
      <c r="B38" s="43">
        <v>107.404</v>
      </c>
      <c r="C38" s="43">
        <v>129.53399999999999</v>
      </c>
      <c r="D38" s="43">
        <v>40.063000000000002</v>
      </c>
      <c r="E38" s="43">
        <v>45.612000000000002</v>
      </c>
      <c r="F38" s="43">
        <v>322.613</v>
      </c>
    </row>
    <row r="39" spans="1:7" ht="14.25" customHeight="1" x14ac:dyDescent="0.25">
      <c r="A39" s="19">
        <v>2015</v>
      </c>
      <c r="B39" s="43">
        <v>107.423</v>
      </c>
      <c r="C39" s="43">
        <v>130.15799999999999</v>
      </c>
      <c r="D39" s="43">
        <v>40.945999999999998</v>
      </c>
      <c r="E39" s="43">
        <v>47.063000000000002</v>
      </c>
      <c r="F39" s="43">
        <v>325.58999999999997</v>
      </c>
    </row>
    <row r="40" spans="1:7" ht="14.25" customHeight="1" x14ac:dyDescent="0.25">
      <c r="A40" s="19">
        <v>2016</v>
      </c>
      <c r="B40" s="43">
        <v>107.318</v>
      </c>
      <c r="C40" s="43">
        <v>130.69</v>
      </c>
      <c r="D40" s="43">
        <v>41.856000000000002</v>
      </c>
      <c r="E40" s="43">
        <v>48.531999999999996</v>
      </c>
      <c r="F40" s="43">
        <v>328.39499999999998</v>
      </c>
    </row>
    <row r="41" spans="1:7" ht="14.25" customHeight="1" x14ac:dyDescent="0.25">
      <c r="A41" s="19">
        <v>2017</v>
      </c>
      <c r="B41" s="43">
        <v>107.09699999999999</v>
      </c>
      <c r="C41" s="43">
        <v>130.80600000000001</v>
      </c>
      <c r="D41" s="43">
        <v>42.543999999999997</v>
      </c>
      <c r="E41" s="43">
        <v>50.100999999999999</v>
      </c>
      <c r="F41" s="43">
        <v>330.54899999999998</v>
      </c>
    </row>
    <row r="42" spans="1:7" ht="14.25" customHeight="1" x14ac:dyDescent="0.25">
      <c r="A42" s="19">
        <v>2018</v>
      </c>
      <c r="B42" s="43">
        <v>106.81399999999999</v>
      </c>
      <c r="C42" s="43">
        <v>131.07499999999999</v>
      </c>
      <c r="D42" s="43">
        <v>43.076999999999998</v>
      </c>
      <c r="E42" s="43">
        <v>51.765000000000001</v>
      </c>
      <c r="F42" s="43">
        <v>332.73099999999999</v>
      </c>
    </row>
    <row r="43" spans="1:7" ht="14.25" customHeight="1" x14ac:dyDescent="0.25">
      <c r="A43" s="19">
        <v>2019</v>
      </c>
      <c r="B43" s="43">
        <v>106.426</v>
      </c>
      <c r="C43" s="43">
        <v>131.02500000000001</v>
      </c>
      <c r="D43" s="43">
        <v>43.488999999999997</v>
      </c>
      <c r="E43" s="43">
        <v>53.44</v>
      </c>
      <c r="F43" s="43">
        <v>334.38</v>
      </c>
    </row>
    <row r="44" spans="1:7" ht="14.25" customHeight="1" x14ac:dyDescent="0.25">
      <c r="A44" s="19">
        <v>2020</v>
      </c>
      <c r="B44" s="43">
        <v>105.926</v>
      </c>
      <c r="C44" s="43">
        <v>130.78800000000001</v>
      </c>
      <c r="D44" s="43">
        <v>43.686999999999998</v>
      </c>
      <c r="E44" s="43">
        <v>55.243000000000002</v>
      </c>
      <c r="F44" s="43">
        <v>335.64299999999997</v>
      </c>
    </row>
    <row r="45" spans="1:7" ht="14.25" customHeight="1" x14ac:dyDescent="0.25">
      <c r="A45" s="160">
        <v>2021</v>
      </c>
      <c r="B45" s="7">
        <v>105.431</v>
      </c>
      <c r="C45" s="7">
        <v>130.953</v>
      </c>
      <c r="D45" s="7">
        <v>43.578000000000003</v>
      </c>
      <c r="E45" s="7">
        <v>56.725999999999999</v>
      </c>
      <c r="F45" s="7">
        <v>336.68700000000001</v>
      </c>
      <c r="G45" s="21"/>
    </row>
    <row r="46" spans="1:7" ht="14.25" customHeight="1" x14ac:dyDescent="0.25">
      <c r="A46" s="19">
        <v>2022</v>
      </c>
      <c r="B46" s="43">
        <v>105.07899999999999</v>
      </c>
      <c r="C46" s="43">
        <v>131.518</v>
      </c>
      <c r="D46" s="43">
        <v>43.197000000000003</v>
      </c>
      <c r="E46" s="43">
        <v>58.283999999999999</v>
      </c>
      <c r="F46" s="43">
        <v>338.07799999999997</v>
      </c>
      <c r="G46" s="16" t="s">
        <v>61</v>
      </c>
    </row>
    <row r="47" spans="1:7" ht="14.25" customHeight="1" x14ac:dyDescent="0.25">
      <c r="A47" s="19">
        <v>2023</v>
      </c>
      <c r="B47" s="43">
        <v>105.371</v>
      </c>
      <c r="C47" s="43">
        <v>133.27799999999999</v>
      </c>
      <c r="D47" s="43">
        <v>42.835000000000001</v>
      </c>
      <c r="E47" s="43">
        <v>60.066000000000003</v>
      </c>
      <c r="F47" s="43">
        <v>341.55</v>
      </c>
    </row>
    <row r="48" spans="1:7" ht="14.25" customHeight="1" x14ac:dyDescent="0.25">
      <c r="A48" s="19">
        <v>2024</v>
      </c>
      <c r="B48" s="43">
        <v>105.622</v>
      </c>
      <c r="C48" s="43">
        <v>135.33699999999999</v>
      </c>
      <c r="D48" s="43">
        <v>42.59</v>
      </c>
      <c r="E48" s="43">
        <v>61.890999999999998</v>
      </c>
      <c r="F48" s="43">
        <v>345.44</v>
      </c>
    </row>
    <row r="49" spans="1:6" ht="14.25" customHeight="1" x14ac:dyDescent="0.25">
      <c r="A49" s="19">
        <v>2025</v>
      </c>
      <c r="B49" s="43">
        <v>105.411</v>
      </c>
      <c r="C49" s="43">
        <v>136.63900000000001</v>
      </c>
      <c r="D49" s="43">
        <v>42.372999999999998</v>
      </c>
      <c r="E49" s="43">
        <v>63.732999999999997</v>
      </c>
      <c r="F49" s="43">
        <v>348.15600000000001</v>
      </c>
    </row>
    <row r="50" spans="1:6" ht="14.25" customHeight="1" x14ac:dyDescent="0.25">
      <c r="A50" s="19">
        <v>2026</v>
      </c>
      <c r="B50" s="43">
        <v>104.45</v>
      </c>
      <c r="C50" s="43">
        <v>136.80000000000001</v>
      </c>
      <c r="D50" s="43">
        <v>42.155000000000001</v>
      </c>
      <c r="E50" s="43">
        <v>65.55</v>
      </c>
      <c r="F50" s="43">
        <v>348.95499999999998</v>
      </c>
    </row>
    <row r="51" spans="1:6" ht="14.25" customHeight="1" x14ac:dyDescent="0.25">
      <c r="A51" s="19">
        <v>2027</v>
      </c>
      <c r="B51" s="43">
        <v>103.60899999999999</v>
      </c>
      <c r="C51" s="43">
        <v>137.17400000000001</v>
      </c>
      <c r="D51" s="43">
        <v>41.786999999999999</v>
      </c>
      <c r="E51" s="43">
        <v>67.266999999999996</v>
      </c>
      <c r="F51" s="43">
        <v>349.83800000000002</v>
      </c>
    </row>
    <row r="52" spans="1:6" ht="14.25" customHeight="1" x14ac:dyDescent="0.25">
      <c r="A52" s="19">
        <v>2028</v>
      </c>
      <c r="B52" s="43">
        <v>102.80200000000001</v>
      </c>
      <c r="C52" s="43">
        <v>137.79499999999999</v>
      </c>
      <c r="D52" s="43">
        <v>41.243000000000002</v>
      </c>
      <c r="E52" s="43">
        <v>68.903000000000006</v>
      </c>
      <c r="F52" s="43">
        <v>350.74200000000002</v>
      </c>
    </row>
    <row r="53" spans="1:6" ht="14.25" customHeight="1" x14ac:dyDescent="0.25">
      <c r="A53" s="19">
        <v>2029</v>
      </c>
      <c r="B53" s="43">
        <v>101.982</v>
      </c>
      <c r="C53" s="43">
        <v>138.68799999999999</v>
      </c>
      <c r="D53" s="43">
        <v>40.603000000000002</v>
      </c>
      <c r="E53" s="43">
        <v>70.432000000000002</v>
      </c>
      <c r="F53" s="43">
        <v>351.70499999999998</v>
      </c>
    </row>
    <row r="54" spans="1:6" ht="14.25" customHeight="1" x14ac:dyDescent="0.25">
      <c r="A54" s="19">
        <v>2030</v>
      </c>
      <c r="B54" s="43">
        <v>101.17700000000001</v>
      </c>
      <c r="C54" s="43">
        <v>139.61199999999999</v>
      </c>
      <c r="D54" s="43">
        <v>40.078000000000003</v>
      </c>
      <c r="E54" s="43">
        <v>71.858999999999995</v>
      </c>
      <c r="F54" s="43">
        <v>352.726</v>
      </c>
    </row>
    <row r="55" spans="1:6" ht="14.25" customHeight="1" x14ac:dyDescent="0.25">
      <c r="A55" s="19">
        <v>2031</v>
      </c>
      <c r="B55" s="43">
        <v>100.38500000000001</v>
      </c>
      <c r="C55" s="43">
        <v>140.60599999999999</v>
      </c>
      <c r="D55" s="43">
        <v>39.747999999999998</v>
      </c>
      <c r="E55" s="43">
        <v>73.046999999999997</v>
      </c>
      <c r="F55" s="43">
        <v>353.786</v>
      </c>
    </row>
    <row r="56" spans="1:6" ht="14.25" customHeight="1" x14ac:dyDescent="0.25">
      <c r="A56" s="19">
        <v>2032</v>
      </c>
      <c r="B56" s="43">
        <v>99.491</v>
      </c>
      <c r="C56" s="43">
        <v>141.655</v>
      </c>
      <c r="D56" s="43">
        <v>39.582000000000001</v>
      </c>
      <c r="E56" s="43">
        <v>74.037999999999997</v>
      </c>
      <c r="F56" s="43">
        <v>354.767</v>
      </c>
    </row>
    <row r="57" spans="1:6" ht="14.25" customHeight="1" x14ac:dyDescent="0.25">
      <c r="A57" s="19">
        <v>2033</v>
      </c>
      <c r="B57" s="43">
        <v>98.542000000000002</v>
      </c>
      <c r="C57" s="43">
        <v>142.614</v>
      </c>
      <c r="D57" s="43">
        <v>39.624000000000002</v>
      </c>
      <c r="E57" s="43">
        <v>74.89</v>
      </c>
      <c r="F57" s="43">
        <v>355.67099999999999</v>
      </c>
    </row>
    <row r="58" spans="1:6" ht="14.25" customHeight="1" x14ac:dyDescent="0.25">
      <c r="A58" s="19">
        <v>2034</v>
      </c>
      <c r="B58" s="43">
        <v>97.638000000000005</v>
      </c>
      <c r="C58" s="43">
        <v>143.49700000000001</v>
      </c>
      <c r="D58" s="43">
        <v>39.655999999999999</v>
      </c>
      <c r="E58" s="43">
        <v>75.721999999999994</v>
      </c>
      <c r="F58" s="43">
        <v>356.51299999999998</v>
      </c>
    </row>
    <row r="59" spans="1:6" ht="14.25" customHeight="1" x14ac:dyDescent="0.25">
      <c r="A59" s="19">
        <v>2035</v>
      </c>
      <c r="B59" s="43">
        <v>96.899000000000001</v>
      </c>
      <c r="C59" s="43">
        <v>144.07900000000001</v>
      </c>
      <c r="D59" s="43">
        <v>39.758000000000003</v>
      </c>
      <c r="E59" s="43">
        <v>76.573999999999998</v>
      </c>
      <c r="F59" s="43">
        <v>357.31099999999998</v>
      </c>
    </row>
    <row r="60" spans="1:6" ht="14.25" customHeight="1" x14ac:dyDescent="0.25">
      <c r="A60" s="19">
        <v>2036</v>
      </c>
      <c r="B60" s="43">
        <v>96.218999999999994</v>
      </c>
      <c r="C60" s="43">
        <v>144.46700000000001</v>
      </c>
      <c r="D60" s="43">
        <v>39.865000000000002</v>
      </c>
      <c r="E60" s="43">
        <v>77.531999999999996</v>
      </c>
      <c r="F60" s="43">
        <v>358.084</v>
      </c>
    </row>
    <row r="61" spans="1:6" ht="14.25" customHeight="1" x14ac:dyDescent="0.25">
      <c r="A61" s="19">
        <v>2037</v>
      </c>
      <c r="B61" s="43">
        <v>95.632999999999996</v>
      </c>
      <c r="C61" s="43">
        <v>144.858</v>
      </c>
      <c r="D61" s="43">
        <v>40.125</v>
      </c>
      <c r="E61" s="43">
        <v>78.228999999999999</v>
      </c>
      <c r="F61" s="43">
        <v>358.84500000000003</v>
      </c>
    </row>
    <row r="62" spans="1:6" ht="14.25" customHeight="1" x14ac:dyDescent="0.25">
      <c r="A62" s="19">
        <v>2038</v>
      </c>
      <c r="B62" s="43">
        <v>95.043000000000006</v>
      </c>
      <c r="C62" s="43">
        <v>145.13800000000001</v>
      </c>
      <c r="D62" s="43">
        <v>40.677999999999997</v>
      </c>
      <c r="E62" s="43">
        <v>78.688000000000002</v>
      </c>
      <c r="F62" s="43">
        <v>359.54599999999999</v>
      </c>
    </row>
    <row r="63" spans="1:6" ht="14.25" customHeight="1" x14ac:dyDescent="0.25">
      <c r="A63" s="19">
        <v>2039</v>
      </c>
      <c r="B63" s="43">
        <v>94.47</v>
      </c>
      <c r="C63" s="43">
        <v>145.46600000000001</v>
      </c>
      <c r="D63" s="43">
        <v>41.304000000000002</v>
      </c>
      <c r="E63" s="43">
        <v>78.950999999999993</v>
      </c>
      <c r="F63" s="43">
        <v>360.19099999999997</v>
      </c>
    </row>
    <row r="64" spans="1:6" ht="14.25" customHeight="1" x14ac:dyDescent="0.25">
      <c r="A64" s="19">
        <v>2040</v>
      </c>
      <c r="B64" s="43">
        <v>93.841999999999999</v>
      </c>
      <c r="C64" s="43">
        <v>145.779</v>
      </c>
      <c r="D64" s="43">
        <v>41.933</v>
      </c>
      <c r="E64" s="43">
        <v>79.224000000000004</v>
      </c>
      <c r="F64" s="43">
        <v>360.77800000000002</v>
      </c>
    </row>
    <row r="65" spans="1:6" ht="14.25" customHeight="1" x14ac:dyDescent="0.25">
      <c r="A65" s="19">
        <v>2041</v>
      </c>
      <c r="B65" s="43">
        <v>93.224000000000004</v>
      </c>
      <c r="C65" s="43">
        <v>145.983</v>
      </c>
      <c r="D65" s="43">
        <v>42.65</v>
      </c>
      <c r="E65" s="43">
        <v>79.453000000000003</v>
      </c>
      <c r="F65" s="43">
        <v>361.31</v>
      </c>
    </row>
    <row r="66" spans="1:6" ht="14.25" customHeight="1" x14ac:dyDescent="0.25">
      <c r="A66" s="19">
        <v>2042</v>
      </c>
      <c r="B66" s="43">
        <v>92.641999999999996</v>
      </c>
      <c r="C66" s="43">
        <v>146.173</v>
      </c>
      <c r="D66" s="43">
        <v>43.322000000000003</v>
      </c>
      <c r="E66" s="43">
        <v>79.650000000000006</v>
      </c>
      <c r="F66" s="43">
        <v>361.78699999999998</v>
      </c>
    </row>
    <row r="67" spans="1:6" ht="14.25" customHeight="1" x14ac:dyDescent="0.25">
      <c r="A67" s="19">
        <v>2043</v>
      </c>
      <c r="B67" s="43">
        <v>92.19</v>
      </c>
      <c r="C67" s="43">
        <v>146.203</v>
      </c>
      <c r="D67" s="43">
        <v>43.905999999999999</v>
      </c>
      <c r="E67" s="43">
        <v>79.911000000000001</v>
      </c>
      <c r="F67" s="43">
        <v>362.21</v>
      </c>
    </row>
    <row r="68" spans="1:6" ht="14.25" customHeight="1" x14ac:dyDescent="0.25">
      <c r="A68" s="19">
        <v>2044</v>
      </c>
      <c r="B68" s="43">
        <v>91.787999999999997</v>
      </c>
      <c r="C68" s="43">
        <v>146.06</v>
      </c>
      <c r="D68" s="43">
        <v>44.567</v>
      </c>
      <c r="E68" s="43">
        <v>80.164000000000001</v>
      </c>
      <c r="F68" s="43">
        <v>362.58</v>
      </c>
    </row>
    <row r="69" spans="1:6" ht="14.25" customHeight="1" x14ac:dyDescent="0.25">
      <c r="A69" s="19">
        <v>2045</v>
      </c>
      <c r="B69" s="43">
        <v>91.409000000000006</v>
      </c>
      <c r="C69" s="43">
        <v>145.78</v>
      </c>
      <c r="D69" s="43">
        <v>45.18</v>
      </c>
      <c r="E69" s="43">
        <v>80.531000000000006</v>
      </c>
      <c r="F69" s="43">
        <v>362.9</v>
      </c>
    </row>
    <row r="70" spans="1:6" ht="14.25" customHeight="1" x14ac:dyDescent="0.25">
      <c r="A70" s="19">
        <v>2046</v>
      </c>
      <c r="B70" s="43">
        <v>91.159000000000006</v>
      </c>
      <c r="C70" s="43">
        <v>145.23400000000001</v>
      </c>
      <c r="D70" s="43">
        <v>45.761000000000003</v>
      </c>
      <c r="E70" s="43">
        <v>81.02</v>
      </c>
      <c r="F70" s="43">
        <v>363.17399999999998</v>
      </c>
    </row>
    <row r="71" spans="1:6" ht="14.25" customHeight="1" x14ac:dyDescent="0.25">
      <c r="A71" s="19">
        <v>2047</v>
      </c>
      <c r="B71" s="43">
        <v>90.847999999999999</v>
      </c>
      <c r="C71" s="43">
        <v>144.83799999999999</v>
      </c>
      <c r="D71" s="43">
        <v>46.290999999999997</v>
      </c>
      <c r="E71" s="43">
        <v>81.427999999999997</v>
      </c>
      <c r="F71" s="43">
        <v>363.40499999999997</v>
      </c>
    </row>
    <row r="72" spans="1:6" ht="14.25" customHeight="1" x14ac:dyDescent="0.25">
      <c r="A72" s="19">
        <v>2048</v>
      </c>
      <c r="B72" s="43">
        <v>90.457999999999998</v>
      </c>
      <c r="C72" s="43">
        <v>144.46700000000001</v>
      </c>
      <c r="D72" s="43">
        <v>46.692999999999998</v>
      </c>
      <c r="E72" s="43">
        <v>81.974999999999994</v>
      </c>
      <c r="F72" s="43">
        <v>363.59300000000002</v>
      </c>
    </row>
    <row r="73" spans="1:6" ht="14.25" customHeight="1" x14ac:dyDescent="0.25">
      <c r="A73" s="19">
        <v>2049</v>
      </c>
      <c r="B73" s="43">
        <v>90.108999999999995</v>
      </c>
      <c r="C73" s="43">
        <v>144.13900000000001</v>
      </c>
      <c r="D73" s="43">
        <v>47.058999999999997</v>
      </c>
      <c r="E73" s="43">
        <v>82.436999999999998</v>
      </c>
      <c r="F73" s="43">
        <v>363.74400000000003</v>
      </c>
    </row>
    <row r="74" spans="1:6" ht="14.25" customHeight="1" x14ac:dyDescent="0.25">
      <c r="A74" s="19">
        <v>2050</v>
      </c>
      <c r="B74" s="43">
        <v>89.747</v>
      </c>
      <c r="C74" s="43">
        <v>143.83600000000001</v>
      </c>
      <c r="D74" s="43">
        <v>47.311</v>
      </c>
      <c r="E74" s="43">
        <v>82.965999999999994</v>
      </c>
      <c r="F74" s="43">
        <v>363.86</v>
      </c>
    </row>
    <row r="75" spans="1:6" ht="14.25" customHeight="1" x14ac:dyDescent="0.25">
      <c r="A75" s="19">
        <v>2051</v>
      </c>
      <c r="B75" s="43">
        <v>89.372</v>
      </c>
      <c r="C75" s="43">
        <v>143.572</v>
      </c>
      <c r="D75" s="43">
        <v>47.43</v>
      </c>
      <c r="E75" s="43">
        <v>83.573999999999998</v>
      </c>
      <c r="F75" s="43">
        <v>363.947</v>
      </c>
    </row>
    <row r="76" spans="1:6" ht="14.25" customHeight="1" x14ac:dyDescent="0.25">
      <c r="A76" s="19">
        <v>2052</v>
      </c>
      <c r="B76" s="43">
        <v>88.998000000000005</v>
      </c>
      <c r="C76" s="43">
        <v>143.30000000000001</v>
      </c>
      <c r="D76" s="43">
        <v>47.564</v>
      </c>
      <c r="E76" s="43">
        <v>84.146000000000001</v>
      </c>
      <c r="F76" s="43">
        <v>364.00900000000001</v>
      </c>
    </row>
    <row r="77" spans="1:6" ht="14.25" customHeight="1" x14ac:dyDescent="0.25">
      <c r="A77" s="19">
        <v>2053</v>
      </c>
      <c r="B77" s="43">
        <v>88.63</v>
      </c>
      <c r="C77" s="43">
        <v>143.05500000000001</v>
      </c>
      <c r="D77" s="43">
        <v>47.637999999999998</v>
      </c>
      <c r="E77" s="43">
        <v>84.727000000000004</v>
      </c>
      <c r="F77" s="43">
        <v>364.05099999999999</v>
      </c>
    </row>
    <row r="78" spans="1:6" ht="14.25" customHeight="1" x14ac:dyDescent="0.25">
      <c r="A78" s="19">
        <v>2054</v>
      </c>
      <c r="B78" s="43">
        <v>88.263000000000005</v>
      </c>
      <c r="C78" s="43">
        <v>142.71100000000001</v>
      </c>
      <c r="D78" s="43">
        <v>47.680999999999997</v>
      </c>
      <c r="E78" s="43">
        <v>85.421000000000006</v>
      </c>
      <c r="F78" s="43">
        <v>364.07600000000002</v>
      </c>
    </row>
    <row r="79" spans="1:6" ht="14.25" customHeight="1" x14ac:dyDescent="0.25">
      <c r="A79" s="19">
        <v>2055</v>
      </c>
      <c r="B79" s="43">
        <v>87.897999999999996</v>
      </c>
      <c r="C79" s="43">
        <v>142.37200000000001</v>
      </c>
      <c r="D79" s="43">
        <v>47.612000000000002</v>
      </c>
      <c r="E79" s="43">
        <v>86.207999999999998</v>
      </c>
      <c r="F79" s="43">
        <v>364.09</v>
      </c>
    </row>
    <row r="80" spans="1:6" ht="14.25" customHeight="1" x14ac:dyDescent="0.25">
      <c r="A80" s="19">
        <v>2056</v>
      </c>
      <c r="B80" s="43">
        <v>87.53</v>
      </c>
      <c r="C80" s="43">
        <v>141.923</v>
      </c>
      <c r="D80" s="43">
        <v>47.521999999999998</v>
      </c>
      <c r="E80" s="43">
        <v>87.119</v>
      </c>
      <c r="F80" s="43">
        <v>364.09399999999999</v>
      </c>
    </row>
    <row r="81" spans="1:6" ht="14.25" customHeight="1" x14ac:dyDescent="0.25">
      <c r="A81" s="160"/>
      <c r="B81" s="160"/>
      <c r="C81" s="163"/>
      <c r="D81" s="163"/>
      <c r="E81" s="21"/>
      <c r="F81" s="21"/>
    </row>
    <row r="82" spans="1:6" ht="14.25" customHeight="1" x14ac:dyDescent="0.25">
      <c r="A82" s="19"/>
    </row>
    <row r="83" spans="1:6" ht="14.25" customHeight="1" x14ac:dyDescent="0.25">
      <c r="A83" s="201" t="s">
        <v>26</v>
      </c>
      <c r="B83" s="201"/>
      <c r="C83" s="201"/>
      <c r="D83" s="201"/>
      <c r="E83" s="201"/>
      <c r="F83" s="201"/>
    </row>
    <row r="84" spans="1:6" ht="90" customHeight="1" x14ac:dyDescent="0.25">
      <c r="A84" s="199" t="s">
        <v>182</v>
      </c>
      <c r="B84" s="199"/>
      <c r="C84" s="199"/>
      <c r="D84" s="199"/>
      <c r="E84" s="199"/>
      <c r="F84" s="199"/>
    </row>
    <row r="85" spans="1:6" ht="15" customHeight="1" x14ac:dyDescent="0.25">
      <c r="A85" s="68"/>
      <c r="B85" s="68"/>
      <c r="C85" s="68"/>
      <c r="D85" s="68"/>
      <c r="E85" s="68"/>
      <c r="F85" s="68"/>
    </row>
    <row r="86" spans="1:6" ht="15" customHeight="1" x14ac:dyDescent="0.25">
      <c r="A86" s="156"/>
      <c r="B86" s="156"/>
      <c r="C86" s="156"/>
      <c r="D86" s="156"/>
      <c r="E86" s="156"/>
      <c r="F86" s="156"/>
    </row>
    <row r="87" spans="1:6" ht="14.25" customHeight="1" x14ac:dyDescent="0.25">
      <c r="A87" s="186" t="s">
        <v>23</v>
      </c>
    </row>
    <row r="88" spans="1:6" ht="14.25" customHeight="1" x14ac:dyDescent="0.25">
      <c r="A88" s="19"/>
    </row>
    <row r="89" spans="1:6" ht="14.25" customHeight="1" x14ac:dyDescent="0.25">
      <c r="A89" s="19"/>
    </row>
    <row r="90" spans="1:6" ht="14.25" customHeight="1" x14ac:dyDescent="0.25">
      <c r="A90" s="19"/>
    </row>
    <row r="91" spans="1:6" ht="14.25" customHeight="1" x14ac:dyDescent="0.25">
      <c r="A91" s="19"/>
    </row>
    <row r="92" spans="1:6" ht="14.25" customHeight="1" x14ac:dyDescent="0.25">
      <c r="A92" s="19"/>
    </row>
    <row r="93" spans="1:6" ht="14.25" customHeight="1" x14ac:dyDescent="0.25">
      <c r="A93" s="19"/>
    </row>
    <row r="94" spans="1:6" ht="14.25" customHeight="1" x14ac:dyDescent="0.25">
      <c r="A94" s="19"/>
    </row>
    <row r="95" spans="1:6" ht="14.25" customHeight="1" x14ac:dyDescent="0.25">
      <c r="A95" s="19"/>
    </row>
    <row r="96" spans="1:6" ht="14.25" customHeight="1" x14ac:dyDescent="0.25">
      <c r="A96" s="19"/>
    </row>
    <row r="97" spans="1:1" ht="14.25" customHeight="1" x14ac:dyDescent="0.25">
      <c r="A97" s="19"/>
    </row>
    <row r="98" spans="1:1" ht="14.25" customHeight="1" x14ac:dyDescent="0.25"/>
    <row r="99" spans="1:1" ht="14.25" customHeight="1" x14ac:dyDescent="0.25"/>
    <row r="100" spans="1:1" ht="14.25" customHeight="1" x14ac:dyDescent="0.25"/>
    <row r="101" spans="1:1" ht="14.25" customHeight="1" x14ac:dyDescent="0.25"/>
    <row r="102" spans="1:1" ht="14.25" customHeight="1" x14ac:dyDescent="0.25"/>
    <row r="103" spans="1:1" ht="14.25" customHeight="1" x14ac:dyDescent="0.25"/>
    <row r="104" spans="1:1" ht="14.25" customHeight="1" x14ac:dyDescent="0.25"/>
    <row r="105" spans="1:1" ht="14.25" customHeight="1" x14ac:dyDescent="0.25"/>
    <row r="106" spans="1:1" ht="14.25" customHeight="1" x14ac:dyDescent="0.25"/>
    <row r="107" spans="1:1" ht="14.25" customHeight="1" x14ac:dyDescent="0.25"/>
    <row r="108" spans="1:1" ht="14.25" customHeight="1" x14ac:dyDescent="0.25"/>
    <row r="109" spans="1:1" ht="14.25" customHeight="1" x14ac:dyDescent="0.25"/>
    <row r="110" spans="1:1" ht="14.25" customHeight="1" x14ac:dyDescent="0.25"/>
    <row r="111" spans="1:1" ht="14.25" customHeight="1" x14ac:dyDescent="0.25"/>
    <row r="112" spans="1:1"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sheetData>
  <mergeCells count="3">
    <mergeCell ref="A5:F5"/>
    <mergeCell ref="A84:F84"/>
    <mergeCell ref="A83:F83"/>
  </mergeCells>
  <phoneticPr fontId="18" type="noConversion"/>
  <hyperlinks>
    <hyperlink ref="A87" location="Contents!A1" display="Back to Table of Contents" xr:uid="{8FBCB71B-A4F6-45ED-8FE3-80DD584E261D}"/>
    <hyperlink ref="A2" r:id="rId1" xr:uid="{5AC75DD2-0873-1049-A571-6D24D9E584A2}"/>
  </hyperlinks>
  <pageMargins left="0.7" right="0.7" top="0.75" bottom="0.75" header="0.3" footer="0.3"/>
  <pageSetup scale="78"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22EED-4852-1A46-91DA-7D41EA29FDF7}">
  <sheetPr codeName="Sheet24">
    <pageSetUpPr fitToPage="1"/>
  </sheetPr>
  <dimension ref="A1:K51"/>
  <sheetViews>
    <sheetView zoomScaleNormal="100" workbookViewId="0"/>
  </sheetViews>
  <sheetFormatPr defaultColWidth="9.109375" defaultRowHeight="13.8" x14ac:dyDescent="0.25"/>
  <cols>
    <col min="1" max="1" width="48.6640625" style="16" customWidth="1"/>
    <col min="2" max="4" width="12.44140625" style="16" customWidth="1"/>
    <col min="5" max="5" width="12.44140625" style="20" customWidth="1"/>
    <col min="6" max="6" width="12.44140625" style="16" customWidth="1"/>
    <col min="7" max="11" width="12.44140625" style="16" bestFit="1" customWidth="1"/>
    <col min="12" max="16384" width="9.109375" style="16"/>
  </cols>
  <sheetData>
    <row r="1" spans="1:6" ht="14.4" x14ac:dyDescent="0.3">
      <c r="A1" s="24" t="s">
        <v>215</v>
      </c>
      <c r="E1" s="16"/>
    </row>
    <row r="2" spans="1:6" ht="14.25" customHeight="1" x14ac:dyDescent="0.25">
      <c r="A2" s="186" t="s">
        <v>0</v>
      </c>
      <c r="E2" s="16"/>
    </row>
    <row r="3" spans="1:6" ht="14.25" customHeight="1" x14ac:dyDescent="0.25">
      <c r="E3" s="16"/>
    </row>
    <row r="4" spans="1:6" ht="14.25" customHeight="1" x14ac:dyDescent="0.25">
      <c r="E4" s="16"/>
    </row>
    <row r="5" spans="1:6" ht="30" customHeight="1" x14ac:dyDescent="0.25">
      <c r="A5" s="194" t="s">
        <v>152</v>
      </c>
      <c r="B5" s="194"/>
      <c r="C5" s="194"/>
      <c r="D5" s="194"/>
      <c r="E5" s="194"/>
      <c r="F5" s="194"/>
    </row>
    <row r="6" spans="1:6" ht="14.55" customHeight="1" x14ac:dyDescent="0.25">
      <c r="A6" s="18" t="s">
        <v>140</v>
      </c>
      <c r="B6" s="166"/>
      <c r="C6" s="166"/>
      <c r="D6" s="166"/>
      <c r="E6" s="166"/>
      <c r="F6" s="21"/>
    </row>
    <row r="7" spans="1:6" ht="15" customHeight="1" x14ac:dyDescent="0.25">
      <c r="A7" s="174"/>
      <c r="B7" s="174"/>
      <c r="C7" s="174"/>
      <c r="D7" s="174"/>
      <c r="E7" s="174"/>
    </row>
    <row r="8" spans="1:6" ht="30" customHeight="1" x14ac:dyDescent="0.25">
      <c r="A8" s="173"/>
      <c r="B8" s="139" t="s">
        <v>29</v>
      </c>
      <c r="C8" s="139" t="s">
        <v>30</v>
      </c>
      <c r="D8" s="139" t="s">
        <v>31</v>
      </c>
      <c r="E8" s="139" t="s">
        <v>32</v>
      </c>
      <c r="F8" s="138" t="s">
        <v>33</v>
      </c>
    </row>
    <row r="9" spans="1:6" ht="15" customHeight="1" x14ac:dyDescent="0.25">
      <c r="A9" s="16" t="s">
        <v>139</v>
      </c>
      <c r="B9" s="46"/>
      <c r="C9" s="46"/>
      <c r="D9" s="46"/>
      <c r="E9" s="172"/>
      <c r="F9" s="172"/>
    </row>
    <row r="10" spans="1:6" ht="15" customHeight="1" x14ac:dyDescent="0.25">
      <c r="A10" s="48" t="s">
        <v>138</v>
      </c>
      <c r="B10" s="147">
        <v>2.484</v>
      </c>
      <c r="C10" s="147">
        <v>1.8340000000000001</v>
      </c>
      <c r="D10" s="147">
        <v>1.7070000000000001</v>
      </c>
      <c r="E10" s="147">
        <v>1.5209999999999999</v>
      </c>
      <c r="F10" s="147">
        <v>1.6919999999999999</v>
      </c>
    </row>
    <row r="11" spans="1:6" ht="15" customHeight="1" x14ac:dyDescent="0.25">
      <c r="A11" s="171" t="s">
        <v>177</v>
      </c>
      <c r="B11" s="147">
        <v>2.4430000000000001</v>
      </c>
      <c r="C11" s="147">
        <v>1.9650000000000001</v>
      </c>
      <c r="D11" s="147">
        <v>1.7070000000000001</v>
      </c>
      <c r="E11" s="147">
        <v>1.5209999999999999</v>
      </c>
      <c r="F11" s="147">
        <v>1.738</v>
      </c>
    </row>
    <row r="12" spans="1:6" ht="15" customHeight="1" x14ac:dyDescent="0.25">
      <c r="A12" s="42" t="s">
        <v>137</v>
      </c>
      <c r="B12" s="147">
        <v>0.871</v>
      </c>
      <c r="C12" s="147">
        <v>0.436</v>
      </c>
      <c r="D12" s="147">
        <v>0.27800000000000002</v>
      </c>
      <c r="E12" s="147">
        <v>0.10299999999999999</v>
      </c>
      <c r="F12" s="147">
        <v>0.27800000000000002</v>
      </c>
    </row>
    <row r="13" spans="1:6" ht="15" customHeight="1" x14ac:dyDescent="0.25">
      <c r="A13" s="42" t="s">
        <v>136</v>
      </c>
      <c r="B13" s="147">
        <v>1.5580000000000001</v>
      </c>
      <c r="C13" s="147">
        <v>1.522</v>
      </c>
      <c r="D13" s="147">
        <v>1.4239999999999999</v>
      </c>
      <c r="E13" s="147">
        <v>1.4159999999999999</v>
      </c>
      <c r="F13" s="147">
        <v>1.456</v>
      </c>
    </row>
    <row r="14" spans="1:6" ht="15" customHeight="1" x14ac:dyDescent="0.25">
      <c r="A14" s="48" t="s">
        <v>135</v>
      </c>
      <c r="B14" s="147">
        <v>1.6339999999999999</v>
      </c>
      <c r="C14" s="147">
        <v>1.5649999999999999</v>
      </c>
      <c r="D14" s="147">
        <v>1.5649999999999999</v>
      </c>
      <c r="E14" s="147">
        <v>1.496</v>
      </c>
      <c r="F14" s="147">
        <v>1.5429999999999999</v>
      </c>
    </row>
    <row r="15" spans="1:6" ht="14.25" customHeight="1" x14ac:dyDescent="0.25">
      <c r="A15" s="48" t="s">
        <v>134</v>
      </c>
      <c r="B15" s="147">
        <v>4.7389999999999999</v>
      </c>
      <c r="C15" s="147">
        <v>4.0039999999999996</v>
      </c>
      <c r="D15" s="147">
        <v>3.7429999999999999</v>
      </c>
      <c r="E15" s="147">
        <v>3.5569999999999999</v>
      </c>
      <c r="F15" s="147">
        <v>3.7749999999999999</v>
      </c>
    </row>
    <row r="16" spans="1:6" ht="15" customHeight="1" x14ac:dyDescent="0.25">
      <c r="A16" s="16" t="s">
        <v>133</v>
      </c>
      <c r="B16" s="147">
        <v>0.89100000000000001</v>
      </c>
      <c r="C16" s="147">
        <v>0.40899999999999997</v>
      </c>
      <c r="D16" s="147">
        <v>0.26300000000000001</v>
      </c>
      <c r="E16" s="147">
        <v>0.122</v>
      </c>
      <c r="F16" s="147">
        <v>0.26900000000000002</v>
      </c>
    </row>
    <row r="17" spans="1:11" ht="16.2" x14ac:dyDescent="0.25">
      <c r="A17" s="16" t="s">
        <v>132</v>
      </c>
      <c r="B17" s="147">
        <v>64.53</v>
      </c>
      <c r="C17" s="147">
        <v>62.12</v>
      </c>
      <c r="D17" s="147">
        <v>61.97</v>
      </c>
      <c r="E17" s="147">
        <v>62.16</v>
      </c>
      <c r="F17" s="147">
        <v>62.09</v>
      </c>
      <c r="G17" s="5"/>
      <c r="H17" s="5"/>
      <c r="I17" s="5"/>
      <c r="J17" s="5"/>
    </row>
    <row r="18" spans="1:11" ht="15" customHeight="1" x14ac:dyDescent="0.25">
      <c r="A18" s="16" t="s">
        <v>131</v>
      </c>
      <c r="B18" s="35"/>
      <c r="C18" s="47"/>
      <c r="D18" s="47"/>
      <c r="E18" s="47"/>
      <c r="F18" s="47"/>
      <c r="G18" s="5"/>
      <c r="H18" s="5"/>
      <c r="I18" s="5"/>
      <c r="J18" s="5"/>
      <c r="K18" s="5"/>
    </row>
    <row r="19" spans="1:11" ht="15" customHeight="1" x14ac:dyDescent="0.25">
      <c r="A19" s="48" t="s">
        <v>130</v>
      </c>
      <c r="B19" s="147">
        <v>2.113</v>
      </c>
      <c r="C19" s="147">
        <v>2.1160000000000001</v>
      </c>
      <c r="D19" s="147">
        <v>1.9530000000000001</v>
      </c>
      <c r="E19" s="147">
        <v>1.9530000000000001</v>
      </c>
      <c r="F19" s="147">
        <v>2.0110000000000001</v>
      </c>
    </row>
    <row r="20" spans="1:11" ht="15" customHeight="1" x14ac:dyDescent="0.25">
      <c r="A20" s="48" t="s">
        <v>129</v>
      </c>
      <c r="B20" s="147">
        <v>2.5289999999999999</v>
      </c>
      <c r="C20" s="147">
        <v>2.3570000000000002</v>
      </c>
      <c r="D20" s="147">
        <v>2.2610000000000001</v>
      </c>
      <c r="E20" s="147">
        <v>2.2679999999999998</v>
      </c>
      <c r="F20" s="147">
        <v>2.2970000000000002</v>
      </c>
    </row>
    <row r="21" spans="1:11" ht="15" customHeight="1" x14ac:dyDescent="0.25">
      <c r="A21" s="48" t="s">
        <v>128</v>
      </c>
      <c r="B21" s="147">
        <v>2.2069999999999999</v>
      </c>
      <c r="C21" s="147">
        <v>2.1019999999999999</v>
      </c>
      <c r="D21" s="147">
        <v>1.998</v>
      </c>
      <c r="E21" s="147">
        <v>2.0019999999999998</v>
      </c>
      <c r="F21" s="147">
        <v>2.036</v>
      </c>
    </row>
    <row r="22" spans="1:11" ht="15" customHeight="1" x14ac:dyDescent="0.25">
      <c r="A22" s="16" t="s">
        <v>127</v>
      </c>
      <c r="B22" s="40"/>
      <c r="C22" s="181"/>
      <c r="D22" s="181"/>
      <c r="E22" s="181"/>
      <c r="F22" s="181"/>
    </row>
    <row r="23" spans="1:11" ht="15" customHeight="1" x14ac:dyDescent="0.25">
      <c r="A23" s="48" t="s">
        <v>126</v>
      </c>
      <c r="B23" s="40"/>
      <c r="C23" s="181"/>
      <c r="D23" s="181"/>
      <c r="E23" s="181"/>
      <c r="F23" s="181"/>
    </row>
    <row r="24" spans="1:11" ht="15" customHeight="1" x14ac:dyDescent="0.25">
      <c r="A24" s="42" t="s">
        <v>125</v>
      </c>
      <c r="B24" s="147">
        <v>3.669</v>
      </c>
      <c r="C24" s="147">
        <v>4.3250000000000002</v>
      </c>
      <c r="D24" s="147">
        <v>4.3979999999999997</v>
      </c>
      <c r="E24" s="147">
        <v>4.4009999999999998</v>
      </c>
      <c r="F24" s="147">
        <v>4.3730000000000002</v>
      </c>
    </row>
    <row r="25" spans="1:11" ht="15" customHeight="1" x14ac:dyDescent="0.25">
      <c r="A25" s="42" t="s">
        <v>124</v>
      </c>
      <c r="B25" s="147">
        <v>1.129</v>
      </c>
      <c r="C25" s="147">
        <v>1.968</v>
      </c>
      <c r="D25" s="147">
        <v>2.137</v>
      </c>
      <c r="E25" s="147">
        <v>2.1320000000000001</v>
      </c>
      <c r="F25" s="147">
        <v>2.0750000000000002</v>
      </c>
    </row>
    <row r="26" spans="1:11" ht="15" customHeight="1" x14ac:dyDescent="0.25">
      <c r="A26" s="171" t="s">
        <v>123</v>
      </c>
      <c r="B26" s="43">
        <v>3.6840000000000002</v>
      </c>
      <c r="C26" s="43">
        <v>3.79</v>
      </c>
      <c r="D26" s="43">
        <v>4.0990000000000002</v>
      </c>
      <c r="E26" s="43">
        <v>4.1639999999999997</v>
      </c>
      <c r="F26" s="43">
        <v>4.01</v>
      </c>
    </row>
    <row r="27" spans="1:11" ht="11.55" customHeight="1" x14ac:dyDescent="0.25">
      <c r="A27" s="18"/>
      <c r="B27" s="7"/>
      <c r="C27" s="7"/>
      <c r="D27" s="21"/>
      <c r="E27" s="18"/>
      <c r="F27" s="18"/>
    </row>
    <row r="28" spans="1:11" x14ac:dyDescent="0.25">
      <c r="E28" s="16"/>
    </row>
    <row r="29" spans="1:11" ht="38.25" customHeight="1" x14ac:dyDescent="0.25">
      <c r="A29" s="193" t="s">
        <v>122</v>
      </c>
      <c r="B29" s="193"/>
      <c r="C29" s="193"/>
      <c r="D29" s="193"/>
      <c r="E29" s="193"/>
      <c r="F29" s="193"/>
    </row>
    <row r="30" spans="1:11" ht="34.5" customHeight="1" x14ac:dyDescent="0.25">
      <c r="A30" s="197" t="s">
        <v>121</v>
      </c>
      <c r="B30" s="197"/>
      <c r="C30" s="197"/>
      <c r="D30" s="197"/>
      <c r="E30" s="197"/>
      <c r="F30" s="197"/>
    </row>
    <row r="31" spans="1:11" ht="63" customHeight="1" x14ac:dyDescent="0.25">
      <c r="A31" s="193" t="s">
        <v>183</v>
      </c>
      <c r="B31" s="193"/>
      <c r="C31" s="193"/>
      <c r="D31" s="193"/>
      <c r="E31" s="193"/>
      <c r="F31" s="193"/>
    </row>
    <row r="32" spans="1:11" ht="40.5" customHeight="1" x14ac:dyDescent="0.25">
      <c r="A32" s="193" t="s">
        <v>167</v>
      </c>
      <c r="B32" s="193"/>
      <c r="C32" s="193"/>
      <c r="D32" s="193"/>
      <c r="E32" s="193"/>
      <c r="F32" s="193"/>
    </row>
    <row r="33" spans="1:6" ht="40.5" customHeight="1" x14ac:dyDescent="0.25">
      <c r="A33" s="193" t="s">
        <v>120</v>
      </c>
      <c r="B33" s="193"/>
      <c r="C33" s="193"/>
      <c r="D33" s="193"/>
      <c r="E33" s="193"/>
      <c r="F33" s="193"/>
    </row>
    <row r="34" spans="1:6" ht="42.75" customHeight="1" x14ac:dyDescent="0.25">
      <c r="A34" s="193" t="s">
        <v>119</v>
      </c>
      <c r="B34" s="193"/>
      <c r="C34" s="193"/>
      <c r="D34" s="193"/>
      <c r="E34" s="193"/>
      <c r="F34" s="193"/>
    </row>
    <row r="35" spans="1:6" ht="38.25" customHeight="1" x14ac:dyDescent="0.25">
      <c r="A35" s="193" t="s">
        <v>165</v>
      </c>
      <c r="B35" s="193"/>
      <c r="C35" s="193"/>
      <c r="D35" s="193"/>
      <c r="E35" s="193"/>
      <c r="F35" s="193"/>
    </row>
    <row r="36" spans="1:6" ht="31.5" customHeight="1" x14ac:dyDescent="0.25">
      <c r="A36" s="197" t="s">
        <v>118</v>
      </c>
      <c r="B36" s="197"/>
      <c r="C36" s="197"/>
      <c r="D36" s="197"/>
      <c r="E36" s="197"/>
      <c r="F36" s="197"/>
    </row>
    <row r="37" spans="1:6" ht="42" customHeight="1" x14ac:dyDescent="0.25">
      <c r="A37" s="193" t="s">
        <v>166</v>
      </c>
      <c r="B37" s="193"/>
      <c r="C37" s="193"/>
      <c r="D37" s="193"/>
      <c r="E37" s="193"/>
      <c r="F37" s="193"/>
    </row>
    <row r="38" spans="1:6" ht="15" customHeight="1" x14ac:dyDescent="0.25">
      <c r="A38" s="166"/>
      <c r="B38" s="166"/>
      <c r="C38" s="166"/>
      <c r="D38" s="166"/>
      <c r="E38" s="166"/>
      <c r="F38" s="166"/>
    </row>
    <row r="39" spans="1:6" ht="15" customHeight="1" x14ac:dyDescent="0.25">
      <c r="A39" s="9"/>
      <c r="B39" s="9"/>
      <c r="C39" s="9"/>
      <c r="D39" s="9"/>
      <c r="E39" s="9"/>
      <c r="F39" s="9"/>
    </row>
    <row r="40" spans="1:6" ht="14.25" customHeight="1" x14ac:dyDescent="0.25">
      <c r="A40" s="186" t="s">
        <v>23</v>
      </c>
      <c r="B40" s="168"/>
      <c r="C40" s="168"/>
      <c r="D40" s="168"/>
      <c r="E40" s="168"/>
      <c r="F40" s="168"/>
    </row>
    <row r="41" spans="1:6" ht="11.55" customHeight="1" x14ac:dyDescent="0.25">
      <c r="A41" s="186"/>
      <c r="E41" s="16"/>
    </row>
    <row r="42" spans="1:6" x14ac:dyDescent="0.25">
      <c r="A42" s="19"/>
      <c r="E42" s="16"/>
    </row>
    <row r="43" spans="1:6" ht="14.25" customHeight="1" x14ac:dyDescent="0.25">
      <c r="A43" s="19"/>
      <c r="E43" s="16"/>
    </row>
    <row r="44" spans="1:6" x14ac:dyDescent="0.25">
      <c r="A44" s="19"/>
      <c r="D44" s="168"/>
      <c r="E44" s="16"/>
    </row>
    <row r="45" spans="1:6" x14ac:dyDescent="0.25">
      <c r="A45" s="19"/>
      <c r="E45" s="16"/>
    </row>
    <row r="46" spans="1:6" x14ac:dyDescent="0.25">
      <c r="A46" s="19"/>
      <c r="E46" s="16"/>
    </row>
    <row r="47" spans="1:6" x14ac:dyDescent="0.25">
      <c r="A47" s="19"/>
      <c r="E47" s="16"/>
    </row>
    <row r="48" spans="1:6" x14ac:dyDescent="0.25">
      <c r="A48" s="19"/>
      <c r="E48" s="16"/>
    </row>
    <row r="49" spans="1:5" x14ac:dyDescent="0.25">
      <c r="A49" s="19"/>
      <c r="E49" s="16"/>
    </row>
    <row r="51" spans="1:5" x14ac:dyDescent="0.25">
      <c r="A51" s="19"/>
    </row>
  </sheetData>
  <mergeCells count="10">
    <mergeCell ref="A36:F36"/>
    <mergeCell ref="A35:F35"/>
    <mergeCell ref="A37:F37"/>
    <mergeCell ref="A34:F34"/>
    <mergeCell ref="A5:F5"/>
    <mergeCell ref="A29:F29"/>
    <mergeCell ref="A30:F30"/>
    <mergeCell ref="A31:F31"/>
    <mergeCell ref="A32:F32"/>
    <mergeCell ref="A33:F33"/>
  </mergeCells>
  <hyperlinks>
    <hyperlink ref="A40" location="Contents!A1" display="Back to Table of Contents" xr:uid="{0A0EB223-5A29-6441-9B69-625EB9A5FEFE}"/>
    <hyperlink ref="A2" r:id="rId1" xr:uid="{BECEFAFD-163D-304F-98FD-30681BA565F8}"/>
  </hyperlinks>
  <pageMargins left="0.7" right="0.7" top="0.75" bottom="0.75" header="0.3" footer="0.3"/>
  <pageSetup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B6D6C-9C97-442F-9BFD-34F1A1323783}">
  <sheetPr codeName="Sheet4"/>
  <dimension ref="A1:I30"/>
  <sheetViews>
    <sheetView zoomScaleNormal="100" workbookViewId="0"/>
  </sheetViews>
  <sheetFormatPr defaultColWidth="8.44140625" defaultRowHeight="13.8" x14ac:dyDescent="0.25"/>
  <cols>
    <col min="1" max="1" width="56" style="16" customWidth="1"/>
    <col min="2" max="6" width="12.44140625" style="16" customWidth="1"/>
    <col min="7" max="16384" width="8.44140625" style="16"/>
  </cols>
  <sheetData>
    <row r="1" spans="1:9" ht="14.4" x14ac:dyDescent="0.3">
      <c r="A1" s="24" t="s">
        <v>215</v>
      </c>
    </row>
    <row r="2" spans="1:9" x14ac:dyDescent="0.25">
      <c r="A2" s="186" t="s">
        <v>0</v>
      </c>
    </row>
    <row r="5" spans="1:9" ht="30" customHeight="1" x14ac:dyDescent="0.25">
      <c r="A5" s="194" t="s">
        <v>153</v>
      </c>
      <c r="B5" s="194"/>
      <c r="C5" s="194"/>
      <c r="D5" s="194"/>
      <c r="E5" s="194"/>
      <c r="F5" s="194"/>
      <c r="G5" s="159"/>
      <c r="H5" s="159"/>
      <c r="I5" s="159"/>
    </row>
    <row r="6" spans="1:9" ht="14.55" customHeight="1" x14ac:dyDescent="0.25">
      <c r="A6" s="21" t="s">
        <v>34</v>
      </c>
      <c r="B6" s="21"/>
      <c r="C6" s="21"/>
      <c r="D6" s="21"/>
      <c r="E6" s="21"/>
      <c r="F6" s="21"/>
    </row>
    <row r="7" spans="1:9" x14ac:dyDescent="0.25">
      <c r="A7" s="12"/>
      <c r="B7" s="12"/>
      <c r="C7" s="12"/>
      <c r="D7" s="12"/>
      <c r="E7" s="1"/>
      <c r="F7" s="12"/>
    </row>
    <row r="8" spans="1:9" ht="27.6" x14ac:dyDescent="0.25">
      <c r="A8" s="57"/>
      <c r="B8" s="139" t="s">
        <v>29</v>
      </c>
      <c r="C8" s="139" t="s">
        <v>30</v>
      </c>
      <c r="D8" s="139" t="s">
        <v>31</v>
      </c>
      <c r="E8" s="139" t="s">
        <v>32</v>
      </c>
      <c r="F8" s="138" t="s">
        <v>33</v>
      </c>
    </row>
    <row r="9" spans="1:9" x14ac:dyDescent="0.25">
      <c r="A9" s="16" t="s">
        <v>35</v>
      </c>
      <c r="B9" s="47"/>
      <c r="C9" s="47"/>
      <c r="D9" s="47"/>
      <c r="E9" s="47"/>
      <c r="F9" s="47"/>
    </row>
    <row r="10" spans="1:9" ht="16.2" x14ac:dyDescent="0.25">
      <c r="A10" s="48" t="s">
        <v>36</v>
      </c>
      <c r="B10" s="43">
        <v>5.524</v>
      </c>
      <c r="C10" s="43">
        <v>4.327</v>
      </c>
      <c r="D10" s="43">
        <v>4.0659999999999998</v>
      </c>
      <c r="E10" s="43">
        <v>3.92</v>
      </c>
      <c r="F10" s="43">
        <v>4.1120000000000001</v>
      </c>
    </row>
    <row r="11" spans="1:9" ht="16.2" x14ac:dyDescent="0.25">
      <c r="A11" s="48" t="s">
        <v>37</v>
      </c>
      <c r="B11" s="43">
        <v>4.8520000000000003</v>
      </c>
      <c r="C11" s="43">
        <v>4.282</v>
      </c>
      <c r="D11" s="43">
        <v>4.0659999999999998</v>
      </c>
      <c r="E11" s="43">
        <v>3.92</v>
      </c>
      <c r="F11" s="43">
        <v>4.0960000000000001</v>
      </c>
    </row>
    <row r="12" spans="1:9" x14ac:dyDescent="0.25">
      <c r="A12" s="16" t="s">
        <v>38</v>
      </c>
      <c r="B12" s="43">
        <v>-0.11600000000000001</v>
      </c>
      <c r="C12" s="43">
        <v>8.8999999999999996E-2</v>
      </c>
      <c r="D12" s="151">
        <v>-1.7000000000000001E-2</v>
      </c>
      <c r="E12" s="151">
        <v>-1.4999999999999999E-2</v>
      </c>
      <c r="F12" s="152">
        <v>2.1000000000000001E-2</v>
      </c>
    </row>
    <row r="13" spans="1:9" x14ac:dyDescent="0.25">
      <c r="A13" s="16" t="s">
        <v>39</v>
      </c>
      <c r="B13" s="43">
        <v>0.74199999999999999</v>
      </c>
      <c r="C13" s="43">
        <v>0.47799999999999998</v>
      </c>
      <c r="D13" s="43">
        <v>0.27</v>
      </c>
      <c r="E13" s="43">
        <v>0.11700000000000001</v>
      </c>
      <c r="F13" s="43">
        <v>0.29499999999999998</v>
      </c>
    </row>
    <row r="14" spans="1:9" x14ac:dyDescent="0.25">
      <c r="A14" s="16" t="s">
        <v>40</v>
      </c>
      <c r="B14" s="43">
        <v>81.477999999999994</v>
      </c>
      <c r="C14" s="43">
        <v>81.846999999999994</v>
      </c>
      <c r="D14" s="43">
        <v>81.328999999999994</v>
      </c>
      <c r="E14" s="43">
        <v>80.983999999999995</v>
      </c>
      <c r="F14" s="43">
        <v>81.400999999999996</v>
      </c>
    </row>
    <row r="15" spans="1:9" x14ac:dyDescent="0.25">
      <c r="A15" s="16" t="s">
        <v>41</v>
      </c>
      <c r="B15" s="43">
        <v>1.1819999999999999</v>
      </c>
      <c r="C15" s="43">
        <v>1.179</v>
      </c>
      <c r="D15" s="43">
        <v>1.1080000000000001</v>
      </c>
      <c r="E15" s="43">
        <v>1.0580000000000001</v>
      </c>
      <c r="F15" s="43">
        <v>1.117</v>
      </c>
    </row>
    <row r="16" spans="1:9" ht="16.2" x14ac:dyDescent="0.25">
      <c r="A16" s="16" t="s">
        <v>42</v>
      </c>
      <c r="B16" s="43">
        <v>1.2809999999999999</v>
      </c>
      <c r="C16" s="43">
        <v>1.042</v>
      </c>
      <c r="D16" s="43">
        <v>1.1399999999999999</v>
      </c>
      <c r="E16" s="43">
        <v>1.0980000000000001</v>
      </c>
      <c r="F16" s="43">
        <v>1.0920000000000001</v>
      </c>
    </row>
    <row r="17" spans="1:6" x14ac:dyDescent="0.25">
      <c r="A17" s="19" t="s">
        <v>43</v>
      </c>
      <c r="B17" s="43">
        <v>1.728</v>
      </c>
      <c r="C17" s="43">
        <v>1.349</v>
      </c>
      <c r="D17" s="43">
        <v>1.4319999999999999</v>
      </c>
      <c r="E17" s="43">
        <v>1.401</v>
      </c>
      <c r="F17" s="43">
        <v>1.393</v>
      </c>
    </row>
    <row r="18" spans="1:6" x14ac:dyDescent="0.25">
      <c r="A18" s="21"/>
      <c r="B18" s="21"/>
      <c r="C18" s="21"/>
      <c r="D18" s="21"/>
      <c r="E18" s="21"/>
      <c r="F18" s="21"/>
    </row>
    <row r="20" spans="1:6" x14ac:dyDescent="0.25">
      <c r="A20" s="197" t="s">
        <v>44</v>
      </c>
      <c r="B20" s="197"/>
      <c r="C20" s="197"/>
      <c r="D20" s="197"/>
      <c r="E20" s="197"/>
      <c r="F20" s="197"/>
    </row>
    <row r="22" spans="1:6" x14ac:dyDescent="0.25">
      <c r="A22" s="197" t="s">
        <v>45</v>
      </c>
      <c r="B22" s="197"/>
      <c r="C22" s="197"/>
      <c r="D22" s="197"/>
      <c r="E22" s="197"/>
      <c r="F22" s="197"/>
    </row>
    <row r="24" spans="1:6" x14ac:dyDescent="0.25">
      <c r="A24" s="197" t="s">
        <v>168</v>
      </c>
      <c r="B24" s="197"/>
      <c r="C24" s="197"/>
      <c r="D24" s="197"/>
      <c r="E24" s="197"/>
      <c r="F24" s="197"/>
    </row>
    <row r="25" spans="1:6" ht="35.25" customHeight="1" x14ac:dyDescent="0.25">
      <c r="A25" s="193" t="s">
        <v>46</v>
      </c>
      <c r="B25" s="193"/>
      <c r="C25" s="193"/>
      <c r="D25" s="193"/>
      <c r="E25" s="193"/>
      <c r="F25" s="193"/>
    </row>
    <row r="26" spans="1:6" ht="24.75" customHeight="1" x14ac:dyDescent="0.25">
      <c r="A26" s="197" t="s">
        <v>47</v>
      </c>
      <c r="B26" s="197"/>
      <c r="C26" s="197"/>
      <c r="D26" s="197"/>
      <c r="E26" s="197"/>
      <c r="F26" s="197"/>
    </row>
    <row r="27" spans="1:6" ht="22.5" customHeight="1" x14ac:dyDescent="0.25">
      <c r="A27" s="197" t="s">
        <v>48</v>
      </c>
      <c r="B27" s="197"/>
      <c r="C27" s="197"/>
      <c r="D27" s="197"/>
      <c r="E27" s="197"/>
      <c r="F27" s="197"/>
    </row>
    <row r="28" spans="1:6" x14ac:dyDescent="0.25">
      <c r="A28" s="21"/>
      <c r="B28" s="21"/>
      <c r="C28" s="21"/>
      <c r="D28" s="21"/>
      <c r="E28" s="21"/>
      <c r="F28" s="21"/>
    </row>
    <row r="30" spans="1:6" x14ac:dyDescent="0.25">
      <c r="A30" s="186" t="s">
        <v>23</v>
      </c>
    </row>
  </sheetData>
  <mergeCells count="7">
    <mergeCell ref="A5:F5"/>
    <mergeCell ref="A20:F20"/>
    <mergeCell ref="A26:F26"/>
    <mergeCell ref="A27:F27"/>
    <mergeCell ref="A25:F25"/>
    <mergeCell ref="A24:F24"/>
    <mergeCell ref="A22:F22"/>
  </mergeCells>
  <conditionalFormatting sqref="A1:XFD19 A20:A25 G20:XFD29 A27:A29 A30:XFD1048576">
    <cfRule type="cellIs" dxfId="0" priority="3" operator="between">
      <formula>-0.0449</formula>
      <formula>0.0449</formula>
    </cfRule>
  </conditionalFormatting>
  <hyperlinks>
    <hyperlink ref="A30" location="Contents!A1" display="Back to Table of Contents" xr:uid="{4CD19444-D6A5-4E5F-9D52-8D9D03E0130C}"/>
    <hyperlink ref="A2" r:id="rId1" xr:uid="{C8C6C7F3-7942-984C-9E23-5B92CFA93531}"/>
  </hyperlinks>
  <pageMargins left="0.7" right="0.7" top="0.75" bottom="0.75" header="0.3" footer="0.3"/>
  <pageSetup orientation="portrait" horizontalDpi="1200" verticalDpi="1200"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7"/>
  <dimension ref="A1:D21"/>
  <sheetViews>
    <sheetView zoomScaleNormal="100" workbookViewId="0"/>
  </sheetViews>
  <sheetFormatPr defaultColWidth="9.109375" defaultRowHeight="13.8" x14ac:dyDescent="0.25"/>
  <cols>
    <col min="1" max="1" width="16.77734375" style="16" customWidth="1"/>
    <col min="2" max="4" width="15.44140625" style="16" customWidth="1"/>
    <col min="5" max="93" width="9.109375" style="16" customWidth="1"/>
    <col min="94" max="16384" width="9.109375" style="16"/>
  </cols>
  <sheetData>
    <row r="1" spans="1:4" ht="14.4" x14ac:dyDescent="0.3">
      <c r="A1" s="24" t="s">
        <v>215</v>
      </c>
    </row>
    <row r="2" spans="1:4" x14ac:dyDescent="0.25">
      <c r="A2" s="186" t="s">
        <v>0</v>
      </c>
      <c r="D2" s="6"/>
    </row>
    <row r="4" spans="1:4" ht="15" customHeight="1" x14ac:dyDescent="0.25">
      <c r="B4" s="162"/>
      <c r="C4" s="162"/>
      <c r="D4" s="162"/>
    </row>
    <row r="5" spans="1:4" ht="30" customHeight="1" x14ac:dyDescent="0.25">
      <c r="A5" s="218" t="s">
        <v>154</v>
      </c>
      <c r="B5" s="218"/>
      <c r="C5" s="218"/>
      <c r="D5" s="218"/>
    </row>
    <row r="6" spans="1:4" ht="15" customHeight="1" x14ac:dyDescent="0.25">
      <c r="A6" s="23" t="s">
        <v>34</v>
      </c>
      <c r="B6" s="18"/>
      <c r="C6" s="18"/>
      <c r="D6" s="18"/>
    </row>
    <row r="7" spans="1:4" ht="15" customHeight="1" x14ac:dyDescent="0.25">
      <c r="A7" s="11"/>
      <c r="B7" s="219"/>
      <c r="C7" s="219"/>
      <c r="D7" s="22"/>
    </row>
    <row r="8" spans="1:4" ht="43.5" customHeight="1" x14ac:dyDescent="0.25">
      <c r="A8" s="36"/>
      <c r="B8" s="37" t="s">
        <v>98</v>
      </c>
      <c r="C8" s="37" t="s">
        <v>99</v>
      </c>
      <c r="D8" s="37" t="s">
        <v>100</v>
      </c>
    </row>
    <row r="9" spans="1:4" x14ac:dyDescent="0.25">
      <c r="A9" s="32" t="s">
        <v>29</v>
      </c>
      <c r="B9" s="35">
        <v>0.871</v>
      </c>
      <c r="C9" s="35">
        <v>1.5580000000000001</v>
      </c>
      <c r="D9" s="35">
        <v>2.4430000000000001</v>
      </c>
    </row>
    <row r="10" spans="1:4" x14ac:dyDescent="0.25">
      <c r="A10" s="32" t="s">
        <v>30</v>
      </c>
      <c r="B10" s="35">
        <v>0.436</v>
      </c>
      <c r="C10" s="35">
        <v>1.522</v>
      </c>
      <c r="D10" s="35">
        <v>1.9650000000000001</v>
      </c>
    </row>
    <row r="11" spans="1:4" x14ac:dyDescent="0.25">
      <c r="A11" s="32" t="s">
        <v>31</v>
      </c>
      <c r="B11" s="81">
        <v>0.27800000000000002</v>
      </c>
      <c r="C11" s="81">
        <v>1.4239999999999999</v>
      </c>
      <c r="D11" s="81">
        <v>1.7070000000000001</v>
      </c>
    </row>
    <row r="12" spans="1:4" x14ac:dyDescent="0.25">
      <c r="A12" s="32" t="s">
        <v>32</v>
      </c>
      <c r="B12" s="81">
        <v>0.10299999999999999</v>
      </c>
      <c r="C12" s="81">
        <v>1.4159999999999999</v>
      </c>
      <c r="D12" s="81">
        <v>1.5209999999999999</v>
      </c>
    </row>
    <row r="13" spans="1:4" x14ac:dyDescent="0.25">
      <c r="A13" s="21"/>
      <c r="B13" s="21"/>
      <c r="C13" s="21"/>
      <c r="D13" s="21"/>
    </row>
    <row r="15" spans="1:4" x14ac:dyDescent="0.25">
      <c r="A15" s="16" t="s">
        <v>26</v>
      </c>
    </row>
    <row r="16" spans="1:4" ht="38.25" customHeight="1" x14ac:dyDescent="0.25">
      <c r="A16" s="193" t="s">
        <v>45</v>
      </c>
      <c r="B16" s="193"/>
      <c r="C16" s="193"/>
      <c r="D16" s="193"/>
    </row>
    <row r="17" spans="1:4" ht="129" customHeight="1" x14ac:dyDescent="0.25">
      <c r="A17" s="193" t="s">
        <v>101</v>
      </c>
      <c r="B17" s="193"/>
      <c r="C17" s="193"/>
      <c r="D17" s="193"/>
    </row>
    <row r="18" spans="1:4" ht="42" customHeight="1" x14ac:dyDescent="0.25">
      <c r="A18" s="193" t="s">
        <v>184</v>
      </c>
      <c r="B18" s="193"/>
      <c r="C18" s="193"/>
      <c r="D18" s="193"/>
    </row>
    <row r="19" spans="1:4" ht="15" customHeight="1" x14ac:dyDescent="0.25">
      <c r="A19" s="21"/>
      <c r="B19" s="21"/>
      <c r="C19" s="21"/>
      <c r="D19" s="21"/>
    </row>
    <row r="20" spans="1:4" ht="15" customHeight="1" x14ac:dyDescent="0.25"/>
    <row r="21" spans="1:4" x14ac:dyDescent="0.25">
      <c r="A21" s="186" t="s">
        <v>23</v>
      </c>
    </row>
  </sheetData>
  <mergeCells count="5">
    <mergeCell ref="A5:D5"/>
    <mergeCell ref="B7:C7"/>
    <mergeCell ref="A17:D17"/>
    <mergeCell ref="A18:D18"/>
    <mergeCell ref="A16:D16"/>
  </mergeCells>
  <hyperlinks>
    <hyperlink ref="A21" location="Contents!A1" display="Back to Table of Contents" xr:uid="{DDC5F6B0-3472-DC41-9D13-5552618329F5}"/>
    <hyperlink ref="A2" r:id="rId1" xr:uid="{C9AE8734-A3C5-3542-BC83-34B066DCD740}"/>
  </hyperlinks>
  <pageMargins left="0.7" right="0.7" top="0.75" bottom="0.75" header="0.3" footer="0.3"/>
  <pageSetup orientation="portrait" horizontalDpi="1200" verticalDpi="1200"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0746B-4557-4763-8217-B61F21FF12A5}">
  <sheetPr codeName="Sheet16"/>
  <dimension ref="A1:G103"/>
  <sheetViews>
    <sheetView zoomScaleNormal="100" workbookViewId="0"/>
  </sheetViews>
  <sheetFormatPr defaultColWidth="9.109375" defaultRowHeight="14.25" customHeight="1" x14ac:dyDescent="0.25"/>
  <cols>
    <col min="1" max="1" width="12.44140625" style="16" customWidth="1"/>
    <col min="2" max="3" width="19.44140625" style="16" customWidth="1"/>
    <col min="4" max="4" width="12.44140625" style="16" customWidth="1"/>
    <col min="5" max="88" width="9.109375" style="16" customWidth="1"/>
    <col min="89" max="16384" width="9.109375" style="16"/>
  </cols>
  <sheetData>
    <row r="1" spans="1:7" ht="14.4" x14ac:dyDescent="0.3">
      <c r="A1" s="24" t="s">
        <v>215</v>
      </c>
    </row>
    <row r="2" spans="1:7" ht="13.8" x14ac:dyDescent="0.25">
      <c r="A2" s="186" t="s">
        <v>0</v>
      </c>
      <c r="D2" s="6"/>
    </row>
    <row r="4" spans="1:7" ht="15" customHeight="1" x14ac:dyDescent="0.25">
      <c r="B4" s="162"/>
      <c r="C4" s="162"/>
      <c r="D4" s="162"/>
    </row>
    <row r="5" spans="1:7" ht="45" customHeight="1" x14ac:dyDescent="0.25">
      <c r="A5" s="194" t="s">
        <v>169</v>
      </c>
      <c r="B5" s="194"/>
      <c r="C5" s="194"/>
      <c r="D5" s="159"/>
      <c r="F5" s="159"/>
      <c r="G5" s="159"/>
    </row>
    <row r="6" spans="1:7" ht="15" customHeight="1" x14ac:dyDescent="0.25">
      <c r="A6" s="21" t="s">
        <v>34</v>
      </c>
      <c r="B6" s="21"/>
      <c r="C6" s="21"/>
    </row>
    <row r="7" spans="1:7" ht="15" customHeight="1" x14ac:dyDescent="0.25">
      <c r="A7" s="19"/>
      <c r="B7" s="19"/>
      <c r="C7" s="19"/>
      <c r="D7" s="19"/>
      <c r="E7" s="19"/>
      <c r="F7" s="19"/>
    </row>
    <row r="8" spans="1:7" ht="30" customHeight="1" x14ac:dyDescent="0.25">
      <c r="A8" s="160"/>
      <c r="B8" s="164" t="s">
        <v>170</v>
      </c>
      <c r="C8" s="164" t="s">
        <v>103</v>
      </c>
      <c r="D8" s="20"/>
      <c r="E8" s="20"/>
      <c r="F8" s="20"/>
    </row>
    <row r="9" spans="1:7" ht="13.5" customHeight="1" x14ac:dyDescent="0.25">
      <c r="A9" s="19">
        <v>1996</v>
      </c>
      <c r="B9" s="93">
        <v>6.3259999999999996</v>
      </c>
      <c r="C9" s="134">
        <v>6.6879999999999997</v>
      </c>
    </row>
    <row r="10" spans="1:7" ht="13.5" customHeight="1" x14ac:dyDescent="0.25">
      <c r="A10" s="19">
        <v>1997</v>
      </c>
      <c r="B10" s="93">
        <v>6.4619999999999997</v>
      </c>
      <c r="C10" s="134">
        <v>6.5339999999999998</v>
      </c>
    </row>
    <row r="11" spans="1:7" ht="13.5" customHeight="1" x14ac:dyDescent="0.25">
      <c r="A11" s="19">
        <v>1998</v>
      </c>
      <c r="B11" s="93">
        <v>5.5730000000000004</v>
      </c>
      <c r="C11" s="134">
        <v>6.3920000000000003</v>
      </c>
    </row>
    <row r="12" spans="1:7" ht="13.5" customHeight="1" x14ac:dyDescent="0.25">
      <c r="A12" s="19">
        <v>1999</v>
      </c>
      <c r="B12" s="93">
        <v>5.2690000000000001</v>
      </c>
      <c r="C12" s="134">
        <v>6.1740000000000004</v>
      </c>
    </row>
    <row r="13" spans="1:7" ht="14.25" customHeight="1" x14ac:dyDescent="0.25">
      <c r="A13" s="19">
        <v>2000</v>
      </c>
      <c r="B13" s="93">
        <v>6.173</v>
      </c>
      <c r="C13" s="43">
        <v>6.1379999999999999</v>
      </c>
    </row>
    <row r="14" spans="1:7" ht="14.25" customHeight="1" x14ac:dyDescent="0.25">
      <c r="A14" s="19">
        <v>2001</v>
      </c>
      <c r="B14" s="93">
        <v>5.2169999999999996</v>
      </c>
      <c r="C14" s="43">
        <v>6.0460000000000003</v>
      </c>
    </row>
    <row r="15" spans="1:7" ht="14.25" customHeight="1" x14ac:dyDescent="0.25">
      <c r="A15" s="19">
        <v>2002</v>
      </c>
      <c r="B15" s="93">
        <v>4.8019999999999996</v>
      </c>
      <c r="C15" s="43">
        <v>5.1497000000000002</v>
      </c>
    </row>
    <row r="16" spans="1:7" ht="14.25" customHeight="1" x14ac:dyDescent="0.25">
      <c r="A16" s="19">
        <v>2003</v>
      </c>
      <c r="B16" s="93">
        <v>3.9449999999999998</v>
      </c>
      <c r="C16" s="43">
        <v>4.3239999999999998</v>
      </c>
    </row>
    <row r="17" spans="1:3" ht="14.25" customHeight="1" x14ac:dyDescent="0.25">
      <c r="A17" s="19">
        <v>2004</v>
      </c>
      <c r="B17" s="93">
        <v>4.3029999999999999</v>
      </c>
      <c r="C17" s="43">
        <v>4.0949999999999998</v>
      </c>
    </row>
    <row r="18" spans="1:3" ht="14.25" customHeight="1" x14ac:dyDescent="0.25">
      <c r="A18" s="19">
        <v>2005</v>
      </c>
      <c r="B18" s="93">
        <v>4.2110000000000003</v>
      </c>
      <c r="C18" s="43">
        <v>4.2830000000000004</v>
      </c>
    </row>
    <row r="19" spans="1:3" ht="14.25" customHeight="1" x14ac:dyDescent="0.25">
      <c r="A19" s="19">
        <v>2006</v>
      </c>
      <c r="B19" s="93">
        <v>4.7569999999999997</v>
      </c>
      <c r="C19" s="43">
        <v>4.9349999999999996</v>
      </c>
    </row>
    <row r="20" spans="1:3" ht="14.25" customHeight="1" x14ac:dyDescent="0.25">
      <c r="A20" s="19">
        <v>2007</v>
      </c>
      <c r="B20" s="93">
        <v>4.7220000000000004</v>
      </c>
      <c r="C20" s="43">
        <v>4.91</v>
      </c>
    </row>
    <row r="21" spans="1:3" ht="14.25" customHeight="1" x14ac:dyDescent="0.25">
      <c r="A21" s="19">
        <v>2008</v>
      </c>
      <c r="B21" s="93">
        <v>3.9180000000000001</v>
      </c>
      <c r="C21" s="43">
        <v>5.0199999999999996</v>
      </c>
    </row>
    <row r="22" spans="1:3" ht="14.25" customHeight="1" x14ac:dyDescent="0.25">
      <c r="A22" s="19">
        <v>2009</v>
      </c>
      <c r="B22" s="93">
        <v>3.2050000000000001</v>
      </c>
      <c r="C22" s="43">
        <v>3.2210000000000001</v>
      </c>
    </row>
    <row r="23" spans="1:3" ht="14.25" customHeight="1" x14ac:dyDescent="0.25">
      <c r="A23" s="19">
        <v>2010</v>
      </c>
      <c r="B23" s="93">
        <v>3.363</v>
      </c>
      <c r="C23" s="43">
        <v>2.6</v>
      </c>
    </row>
    <row r="24" spans="1:3" ht="14.25" customHeight="1" x14ac:dyDescent="0.25">
      <c r="A24" s="19">
        <v>2011</v>
      </c>
      <c r="B24" s="93">
        <v>2.99</v>
      </c>
      <c r="C24" s="43">
        <v>2.5497999999999998</v>
      </c>
    </row>
    <row r="25" spans="1:3" ht="14.25" customHeight="1" x14ac:dyDescent="0.25">
      <c r="A25" s="19">
        <v>2012</v>
      </c>
      <c r="B25" s="93">
        <v>1.8879999999999999</v>
      </c>
      <c r="C25" s="43">
        <v>2.1760000000000002</v>
      </c>
    </row>
    <row r="26" spans="1:3" ht="14.25" customHeight="1" x14ac:dyDescent="0.25">
      <c r="A26" s="19">
        <v>2013</v>
      </c>
      <c r="B26" s="93">
        <v>2.0910000000000002</v>
      </c>
      <c r="C26" s="43">
        <v>1.958</v>
      </c>
    </row>
    <row r="27" spans="1:3" ht="14.25" customHeight="1" x14ac:dyDescent="0.25">
      <c r="A27" s="19">
        <v>2014</v>
      </c>
      <c r="B27" s="93">
        <v>2.6579999999999999</v>
      </c>
      <c r="C27" s="43">
        <v>1.911</v>
      </c>
    </row>
    <row r="28" spans="1:3" ht="14.25" customHeight="1" x14ac:dyDescent="0.25">
      <c r="A28" s="19">
        <v>2015</v>
      </c>
      <c r="B28" s="93">
        <v>2.1579999999999999</v>
      </c>
      <c r="C28" s="43">
        <v>1.746</v>
      </c>
    </row>
    <row r="29" spans="1:3" ht="14.25" customHeight="1" x14ac:dyDescent="0.25">
      <c r="A29" s="19">
        <v>2016</v>
      </c>
      <c r="B29" s="93">
        <v>1.857</v>
      </c>
      <c r="C29" s="43">
        <v>1.83</v>
      </c>
    </row>
    <row r="30" spans="1:3" ht="14.25" customHeight="1" x14ac:dyDescent="0.25">
      <c r="A30" s="19">
        <v>2017</v>
      </c>
      <c r="B30" s="93">
        <v>2.27</v>
      </c>
      <c r="C30" s="43">
        <v>1.853</v>
      </c>
    </row>
    <row r="31" spans="1:3" ht="14.25" customHeight="1" x14ac:dyDescent="0.25">
      <c r="A31" s="19">
        <v>2018</v>
      </c>
      <c r="B31" s="93">
        <v>2.7440000000000002</v>
      </c>
      <c r="C31" s="43">
        <v>2.2160000000000002</v>
      </c>
    </row>
    <row r="32" spans="1:3" ht="14.25" customHeight="1" x14ac:dyDescent="0.25">
      <c r="A32" s="19">
        <v>2019</v>
      </c>
      <c r="B32" s="93">
        <v>2.4540000000000002</v>
      </c>
      <c r="C32" s="43">
        <v>2.3820000000000001</v>
      </c>
    </row>
    <row r="33" spans="1:6" ht="14.25" customHeight="1" x14ac:dyDescent="0.25">
      <c r="A33" s="19">
        <v>2020</v>
      </c>
      <c r="B33" s="93">
        <v>1.127</v>
      </c>
      <c r="C33" s="43">
        <v>2.056</v>
      </c>
    </row>
    <row r="34" spans="1:6" ht="14.25" customHeight="1" x14ac:dyDescent="0.25">
      <c r="A34" s="19">
        <v>2021</v>
      </c>
      <c r="B34" s="93">
        <v>1.274</v>
      </c>
      <c r="C34" s="43">
        <v>1.6759999999999999</v>
      </c>
    </row>
    <row r="35" spans="1:6" ht="14.25" customHeight="1" x14ac:dyDescent="0.25">
      <c r="A35" s="19">
        <v>2022</v>
      </c>
      <c r="B35" s="93">
        <v>2.3780000000000001</v>
      </c>
      <c r="C35" s="43">
        <v>2.1360000000000001</v>
      </c>
    </row>
    <row r="36" spans="1:6" ht="14.25" customHeight="1" x14ac:dyDescent="0.25">
      <c r="A36" s="19">
        <v>2023</v>
      </c>
      <c r="B36" s="93">
        <v>3.8050000000000002</v>
      </c>
      <c r="C36" s="43">
        <v>2.714</v>
      </c>
    </row>
    <row r="37" spans="1:6" ht="14.25" customHeight="1" x14ac:dyDescent="0.25">
      <c r="A37" s="19">
        <v>2024</v>
      </c>
      <c r="B37" s="93">
        <v>4.2480000000000002</v>
      </c>
      <c r="C37" s="43">
        <v>3.3540000000000001</v>
      </c>
      <c r="F37" s="15"/>
    </row>
    <row r="38" spans="1:6" ht="14.25" customHeight="1" x14ac:dyDescent="0.25">
      <c r="A38" s="160">
        <v>2025</v>
      </c>
      <c r="B38" s="140">
        <v>4.3380000000000001</v>
      </c>
      <c r="C38" s="7">
        <v>3.44</v>
      </c>
      <c r="D38" s="21"/>
      <c r="F38" s="15"/>
    </row>
    <row r="39" spans="1:6" ht="14.25" customHeight="1" x14ac:dyDescent="0.25">
      <c r="A39" s="19">
        <v>2026</v>
      </c>
      <c r="B39" s="93">
        <v>4.0979999999999999</v>
      </c>
      <c r="C39" s="43">
        <v>3.4430000000000001</v>
      </c>
      <c r="D39" s="16" t="s">
        <v>61</v>
      </c>
      <c r="F39" s="15"/>
    </row>
    <row r="40" spans="1:6" ht="14.25" customHeight="1" x14ac:dyDescent="0.25">
      <c r="A40" s="19">
        <v>2027</v>
      </c>
      <c r="B40" s="93">
        <v>4.2350000000000003</v>
      </c>
      <c r="C40" s="43">
        <v>3.4510000000000001</v>
      </c>
      <c r="F40" s="15"/>
    </row>
    <row r="41" spans="1:6" ht="14.25" customHeight="1" x14ac:dyDescent="0.25">
      <c r="A41" s="19">
        <v>2028</v>
      </c>
      <c r="B41" s="93">
        <v>4.2949999999999999</v>
      </c>
      <c r="C41" s="43">
        <v>3.581</v>
      </c>
      <c r="F41" s="15"/>
    </row>
    <row r="42" spans="1:6" ht="14.25" customHeight="1" x14ac:dyDescent="0.25">
      <c r="A42" s="19">
        <v>2029</v>
      </c>
      <c r="B42" s="93">
        <v>4.3239999999999998</v>
      </c>
      <c r="C42" s="43">
        <v>3.67</v>
      </c>
      <c r="F42" s="15"/>
    </row>
    <row r="43" spans="1:6" ht="14.25" customHeight="1" x14ac:dyDescent="0.25">
      <c r="A43" s="19">
        <v>2030</v>
      </c>
      <c r="B43" s="93">
        <v>4.34</v>
      </c>
      <c r="C43" s="43">
        <v>3.758</v>
      </c>
      <c r="F43" s="15"/>
    </row>
    <row r="44" spans="1:6" ht="14.25" customHeight="1" x14ac:dyDescent="0.25">
      <c r="A44" s="19">
        <v>2031</v>
      </c>
      <c r="B44" s="93">
        <v>4.3498999999999999</v>
      </c>
      <c r="C44" s="43">
        <v>3.8439999999999999</v>
      </c>
      <c r="F44" s="15"/>
    </row>
    <row r="45" spans="1:6" ht="14.25" customHeight="1" x14ac:dyDescent="0.25">
      <c r="A45" s="19">
        <v>2032</v>
      </c>
      <c r="B45" s="93">
        <v>4.3579999999999997</v>
      </c>
      <c r="C45" s="43">
        <v>3.9279999999999999</v>
      </c>
      <c r="F45" s="15"/>
    </row>
    <row r="46" spans="1:6" ht="14.25" customHeight="1" x14ac:dyDescent="0.25">
      <c r="A46" s="19">
        <v>2033</v>
      </c>
      <c r="B46" s="93">
        <v>4.3650000000000002</v>
      </c>
      <c r="C46" s="43">
        <v>3.972</v>
      </c>
      <c r="F46" s="15"/>
    </row>
    <row r="47" spans="1:6" ht="14.25" customHeight="1" x14ac:dyDescent="0.25">
      <c r="A47" s="19">
        <v>2034</v>
      </c>
      <c r="B47" s="93">
        <v>4.3730000000000002</v>
      </c>
      <c r="C47" s="43">
        <v>3.996</v>
      </c>
      <c r="F47" s="15"/>
    </row>
    <row r="48" spans="1:6" ht="14.25" customHeight="1" x14ac:dyDescent="0.25">
      <c r="A48" s="19">
        <v>2035</v>
      </c>
      <c r="B48" s="93">
        <v>4.38</v>
      </c>
      <c r="C48" s="43">
        <v>4.0069999999999997</v>
      </c>
      <c r="F48" s="15"/>
    </row>
    <row r="49" spans="1:6" ht="14.25" customHeight="1" x14ac:dyDescent="0.25">
      <c r="A49" s="19">
        <v>2036</v>
      </c>
      <c r="B49" s="93">
        <v>4.3869999999999996</v>
      </c>
      <c r="C49" s="43">
        <v>4.0380000000000003</v>
      </c>
      <c r="F49" s="15"/>
    </row>
    <row r="50" spans="1:6" ht="14.25" customHeight="1" x14ac:dyDescent="0.25">
      <c r="A50" s="19">
        <v>2037</v>
      </c>
      <c r="B50" s="93">
        <v>4.3929999999999998</v>
      </c>
      <c r="C50" s="43">
        <v>4.0460000000000003</v>
      </c>
      <c r="F50" s="15"/>
    </row>
    <row r="51" spans="1:6" ht="14.25" customHeight="1" x14ac:dyDescent="0.25">
      <c r="A51" s="19">
        <v>2038</v>
      </c>
      <c r="B51" s="93">
        <v>4.3979999999999997</v>
      </c>
      <c r="C51" s="43">
        <v>4.0570000000000004</v>
      </c>
      <c r="F51" s="15"/>
    </row>
    <row r="52" spans="1:6" ht="14.25" customHeight="1" x14ac:dyDescent="0.25">
      <c r="A52" s="19">
        <v>2039</v>
      </c>
      <c r="B52" s="93">
        <v>4.4020000000000001</v>
      </c>
      <c r="C52" s="43">
        <v>4.0650000000000004</v>
      </c>
      <c r="F52" s="15"/>
    </row>
    <row r="53" spans="1:6" ht="14.25" customHeight="1" x14ac:dyDescent="0.25">
      <c r="A53" s="19">
        <v>2040</v>
      </c>
      <c r="B53" s="93">
        <v>4.4039999999999999</v>
      </c>
      <c r="C53" s="43">
        <v>4.0739999999999998</v>
      </c>
      <c r="F53" s="15"/>
    </row>
    <row r="54" spans="1:6" ht="14.25" customHeight="1" x14ac:dyDescent="0.25">
      <c r="A54" s="19">
        <v>2041</v>
      </c>
      <c r="B54" s="93">
        <v>4.4039999999999999</v>
      </c>
      <c r="C54" s="43">
        <v>4.0890000000000004</v>
      </c>
      <c r="F54" s="15"/>
    </row>
    <row r="55" spans="1:6" ht="14.25" customHeight="1" x14ac:dyDescent="0.25">
      <c r="A55" s="19">
        <v>2042</v>
      </c>
      <c r="B55" s="93">
        <v>4.4029999999999996</v>
      </c>
      <c r="C55" s="43">
        <v>4.1100000000000003</v>
      </c>
      <c r="F55" s="15"/>
    </row>
    <row r="56" spans="1:6" ht="14.25" customHeight="1" x14ac:dyDescent="0.25">
      <c r="A56" s="19">
        <v>2043</v>
      </c>
      <c r="B56" s="129">
        <v>4.4009999999999998</v>
      </c>
      <c r="C56" s="43">
        <v>4.125</v>
      </c>
      <c r="F56" s="15"/>
    </row>
    <row r="57" spans="1:6" ht="14.25" customHeight="1" x14ac:dyDescent="0.25">
      <c r="A57" s="19">
        <v>2044</v>
      </c>
      <c r="B57" s="129">
        <v>4.3979999999999997</v>
      </c>
      <c r="C57" s="43">
        <v>4.1319999999999997</v>
      </c>
      <c r="F57" s="15"/>
    </row>
    <row r="58" spans="1:6" ht="14.25" customHeight="1" x14ac:dyDescent="0.25">
      <c r="A58" s="19">
        <v>2045</v>
      </c>
      <c r="B58" s="129">
        <v>4.3949999999999996</v>
      </c>
      <c r="C58" s="43">
        <v>4.1379999999999999</v>
      </c>
      <c r="F58" s="15"/>
    </row>
    <row r="59" spans="1:6" ht="14.25" customHeight="1" x14ac:dyDescent="0.25">
      <c r="A59" s="19">
        <v>2046</v>
      </c>
      <c r="B59" s="43">
        <v>4.391</v>
      </c>
      <c r="C59" s="43">
        <v>4.149</v>
      </c>
      <c r="F59" s="15"/>
    </row>
    <row r="60" spans="1:6" ht="14.25" customHeight="1" x14ac:dyDescent="0.25">
      <c r="A60" s="19">
        <v>2047</v>
      </c>
      <c r="B60" s="43">
        <v>4.3879999999999999</v>
      </c>
      <c r="C60" s="43">
        <v>4.1539999999999999</v>
      </c>
      <c r="F60" s="15"/>
    </row>
    <row r="61" spans="1:6" ht="14.25" customHeight="1" x14ac:dyDescent="0.25">
      <c r="A61" s="19">
        <v>2048</v>
      </c>
      <c r="B61" s="43">
        <v>4.3860000000000001</v>
      </c>
      <c r="C61" s="43">
        <v>4.1559999999999997</v>
      </c>
      <c r="F61" s="15"/>
    </row>
    <row r="62" spans="1:6" ht="14.25" customHeight="1" x14ac:dyDescent="0.25">
      <c r="A62" s="19">
        <v>2049</v>
      </c>
      <c r="B62" s="43">
        <v>4.3860000000000001</v>
      </c>
      <c r="C62" s="43">
        <v>4.1559999999999997</v>
      </c>
      <c r="F62" s="15"/>
    </row>
    <row r="63" spans="1:6" ht="14.25" customHeight="1" x14ac:dyDescent="0.25">
      <c r="A63" s="19">
        <v>2050</v>
      </c>
      <c r="B63" s="43">
        <v>4.3879999999999999</v>
      </c>
      <c r="C63" s="43">
        <v>4.1580000000000004</v>
      </c>
      <c r="F63" s="15"/>
    </row>
    <row r="64" spans="1:6" ht="14.25" customHeight="1" x14ac:dyDescent="0.25">
      <c r="A64" s="19">
        <v>2051</v>
      </c>
      <c r="B64" s="43">
        <v>4.391</v>
      </c>
      <c r="C64" s="43">
        <v>4.1619999999999999</v>
      </c>
      <c r="F64" s="15"/>
    </row>
    <row r="65" spans="1:6" ht="14.25" customHeight="1" x14ac:dyDescent="0.25">
      <c r="A65" s="19">
        <v>2052</v>
      </c>
      <c r="B65" s="43">
        <v>4.3970000000000002</v>
      </c>
      <c r="C65" s="43">
        <v>4.1669999999999998</v>
      </c>
      <c r="F65" s="15"/>
    </row>
    <row r="66" spans="1:6" ht="13.5" customHeight="1" x14ac:dyDescent="0.25">
      <c r="A66" s="19">
        <v>2053</v>
      </c>
      <c r="B66" s="43">
        <v>4.4039999999999999</v>
      </c>
      <c r="C66" s="43">
        <v>4.1680000000000001</v>
      </c>
      <c r="F66" s="15"/>
    </row>
    <row r="67" spans="1:6" ht="14.25" customHeight="1" x14ac:dyDescent="0.25">
      <c r="A67" s="19">
        <v>2054</v>
      </c>
      <c r="B67" s="43">
        <v>4.4119999999999999</v>
      </c>
      <c r="C67" s="43">
        <v>4.1689999999999996</v>
      </c>
      <c r="F67" s="15"/>
    </row>
    <row r="68" spans="1:6" ht="14.25" customHeight="1" x14ac:dyDescent="0.25">
      <c r="A68" s="19">
        <v>2055</v>
      </c>
      <c r="B68" s="43">
        <v>4.4210000000000003</v>
      </c>
      <c r="C68" s="43">
        <v>4.1710000000000003</v>
      </c>
      <c r="F68" s="15"/>
    </row>
    <row r="69" spans="1:6" ht="14.25" customHeight="1" x14ac:dyDescent="0.25">
      <c r="A69" s="19">
        <v>2056</v>
      </c>
      <c r="B69" s="43">
        <v>4.43</v>
      </c>
      <c r="C69" s="43">
        <v>4.1760000000000002</v>
      </c>
      <c r="F69" s="15"/>
    </row>
    <row r="70" spans="1:6" ht="14.25" customHeight="1" x14ac:dyDescent="0.25">
      <c r="A70" s="160"/>
      <c r="B70" s="7"/>
      <c r="C70" s="7"/>
      <c r="F70" s="15"/>
    </row>
    <row r="71" spans="1:6" ht="13.8" x14ac:dyDescent="0.25">
      <c r="A71" s="19"/>
      <c r="B71" s="66"/>
      <c r="C71" s="15"/>
      <c r="D71" s="15"/>
    </row>
    <row r="72" spans="1:6" ht="35.25" customHeight="1" x14ac:dyDescent="0.25">
      <c r="A72" s="199" t="s">
        <v>104</v>
      </c>
      <c r="B72" s="199"/>
      <c r="C72" s="199"/>
      <c r="D72" s="15"/>
    </row>
    <row r="73" spans="1:6" ht="67.5" customHeight="1" x14ac:dyDescent="0.25">
      <c r="A73" s="193" t="s">
        <v>105</v>
      </c>
      <c r="B73" s="193"/>
      <c r="C73" s="193"/>
      <c r="D73" s="15"/>
    </row>
    <row r="74" spans="1:6" ht="15" customHeight="1" x14ac:dyDescent="0.25">
      <c r="A74" s="166"/>
      <c r="B74" s="166"/>
      <c r="C74" s="166"/>
      <c r="D74" s="15"/>
    </row>
    <row r="75" spans="1:6" ht="15" customHeight="1" x14ac:dyDescent="0.25">
      <c r="A75" s="9"/>
      <c r="B75" s="9"/>
      <c r="C75" s="9"/>
      <c r="D75" s="15"/>
    </row>
    <row r="76" spans="1:6" ht="18.75" customHeight="1" x14ac:dyDescent="0.25">
      <c r="A76" s="186" t="s">
        <v>23</v>
      </c>
      <c r="B76" s="20"/>
      <c r="C76" s="15"/>
      <c r="D76" s="15"/>
    </row>
    <row r="77" spans="1:6" ht="13.8" x14ac:dyDescent="0.25"/>
    <row r="78" spans="1:6" ht="13.8" x14ac:dyDescent="0.25"/>
    <row r="79" spans="1:6" ht="13.8" x14ac:dyDescent="0.25"/>
    <row r="80" spans="1:6" ht="13.8" x14ac:dyDescent="0.25"/>
    <row r="81" s="16" customFormat="1" ht="13.8" x14ac:dyDescent="0.25"/>
    <row r="82" s="16" customFormat="1" ht="13.8" x14ac:dyDescent="0.25"/>
    <row r="83" s="16" customFormat="1" ht="13.8" x14ac:dyDescent="0.25"/>
    <row r="84" s="16" customFormat="1" ht="13.8" x14ac:dyDescent="0.25"/>
    <row r="85" s="16" customFormat="1" ht="13.8" x14ac:dyDescent="0.25"/>
    <row r="86" s="16" customFormat="1" ht="13.8" x14ac:dyDescent="0.25"/>
    <row r="87" s="16" customFormat="1" ht="13.8" x14ac:dyDescent="0.25"/>
    <row r="88" s="16" customFormat="1" ht="13.8" x14ac:dyDescent="0.25"/>
    <row r="89" s="16" customFormat="1" ht="13.8" x14ac:dyDescent="0.25"/>
    <row r="90" s="16" customFormat="1" ht="13.8" x14ac:dyDescent="0.25"/>
    <row r="91" s="16" customFormat="1" ht="13.8" x14ac:dyDescent="0.25"/>
    <row r="92" s="16" customFormat="1" ht="13.8" x14ac:dyDescent="0.25"/>
    <row r="93" s="16" customFormat="1" ht="13.8" x14ac:dyDescent="0.25"/>
    <row r="94" s="16" customFormat="1" ht="13.8" x14ac:dyDescent="0.25"/>
    <row r="95" s="16" customFormat="1" ht="13.8" x14ac:dyDescent="0.25"/>
    <row r="96" s="16" customFormat="1" ht="13.8" x14ac:dyDescent="0.25"/>
    <row r="97" s="16" customFormat="1" ht="13.8" x14ac:dyDescent="0.25"/>
    <row r="98" s="16" customFormat="1" ht="13.8" x14ac:dyDescent="0.25"/>
    <row r="99" s="16" customFormat="1" ht="13.8" x14ac:dyDescent="0.25"/>
    <row r="100" s="16" customFormat="1" ht="13.8" x14ac:dyDescent="0.25"/>
    <row r="101" s="16" customFormat="1" ht="13.8" x14ac:dyDescent="0.25"/>
    <row r="102" s="16" customFormat="1" ht="13.8" x14ac:dyDescent="0.25"/>
    <row r="103" s="16" customFormat="1" ht="13.8" x14ac:dyDescent="0.25"/>
  </sheetData>
  <mergeCells count="3">
    <mergeCell ref="A5:C5"/>
    <mergeCell ref="A72:C72"/>
    <mergeCell ref="A73:C73"/>
  </mergeCells>
  <hyperlinks>
    <hyperlink ref="A76" location="Contents!A1" display="Back to Table of Contents" xr:uid="{BBA7FD4E-B805-45FA-B9AD-4F0FB1054797}"/>
    <hyperlink ref="A2" r:id="rId1" xr:uid="{D7BD57FF-20E8-0C4D-850F-6CCBA0E3D28E}"/>
  </hyperlinks>
  <pageMargins left="0.7" right="0.7" top="0.75" bottom="0.75" header="0.3" footer="0.3"/>
  <pageSetup orientation="portrait" horizontalDpi="1200" verticalDpi="1200"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D5704-09F3-490F-9E6A-E9E5D5F727A9}">
  <sheetPr codeName="Sheet17"/>
  <dimension ref="A1:P49"/>
  <sheetViews>
    <sheetView zoomScaleNormal="100" workbookViewId="0"/>
  </sheetViews>
  <sheetFormatPr defaultColWidth="8.44140625" defaultRowHeight="13.8" x14ac:dyDescent="0.25"/>
  <cols>
    <col min="1" max="1" width="11.44140625" style="19" customWidth="1"/>
    <col min="2" max="3" width="11.44140625" style="16" customWidth="1"/>
    <col min="4" max="4" width="1.44140625" style="16" customWidth="1"/>
    <col min="5" max="6" width="11.44140625" style="16" customWidth="1"/>
    <col min="7" max="7" width="1.44140625" style="16" customWidth="1"/>
    <col min="8" max="9" width="11.44140625" style="16" customWidth="1"/>
    <col min="10" max="16384" width="8.44140625" style="16"/>
  </cols>
  <sheetData>
    <row r="1" spans="1:16" ht="14.4" x14ac:dyDescent="0.3">
      <c r="A1" s="24" t="s">
        <v>215</v>
      </c>
    </row>
    <row r="2" spans="1:16" x14ac:dyDescent="0.25">
      <c r="A2" s="186" t="s">
        <v>0</v>
      </c>
      <c r="H2" s="6"/>
    </row>
    <row r="4" spans="1:16" x14ac:dyDescent="0.25">
      <c r="B4" s="162"/>
      <c r="C4" s="162"/>
      <c r="G4" s="162"/>
      <c r="H4" s="162"/>
      <c r="P4" s="182"/>
    </row>
    <row r="5" spans="1:16" ht="30" customHeight="1" x14ac:dyDescent="0.25">
      <c r="A5" s="194" t="s">
        <v>155</v>
      </c>
      <c r="B5" s="194"/>
      <c r="C5" s="194"/>
      <c r="D5" s="194"/>
      <c r="E5" s="194"/>
      <c r="F5" s="194"/>
      <c r="G5" s="194"/>
      <c r="H5" s="194"/>
      <c r="I5" s="194"/>
      <c r="J5" s="159"/>
      <c r="K5" s="159"/>
      <c r="L5" s="159"/>
      <c r="M5" s="159"/>
    </row>
    <row r="6" spans="1:16" x14ac:dyDescent="0.25">
      <c r="A6" s="160" t="s">
        <v>34</v>
      </c>
      <c r="B6" s="21"/>
      <c r="C6" s="21"/>
      <c r="D6" s="21"/>
      <c r="E6" s="21"/>
      <c r="F6" s="21"/>
      <c r="G6" s="21"/>
      <c r="H6" s="21"/>
      <c r="I6" s="21"/>
    </row>
    <row r="7" spans="1:16" ht="14.55" customHeight="1" x14ac:dyDescent="0.25"/>
    <row r="8" spans="1:16" ht="29.25" customHeight="1" x14ac:dyDescent="0.25">
      <c r="A8" s="32"/>
      <c r="B8" s="220" t="s">
        <v>106</v>
      </c>
      <c r="C8" s="220"/>
      <c r="D8" s="33"/>
      <c r="E8" s="220" t="s">
        <v>107</v>
      </c>
      <c r="F8" s="220"/>
      <c r="G8" s="20"/>
      <c r="H8" s="221" t="s">
        <v>108</v>
      </c>
      <c r="I8" s="221"/>
    </row>
    <row r="9" spans="1:16" s="9" customFormat="1" ht="29.25" customHeight="1" x14ac:dyDescent="0.25">
      <c r="A9" s="59"/>
      <c r="B9" s="70" t="s">
        <v>51</v>
      </c>
      <c r="C9" s="70" t="s">
        <v>52</v>
      </c>
      <c r="D9" s="70"/>
      <c r="E9" s="70" t="s">
        <v>51</v>
      </c>
      <c r="F9" s="70" t="s">
        <v>52</v>
      </c>
      <c r="G9" s="70"/>
      <c r="H9" s="70" t="s">
        <v>51</v>
      </c>
      <c r="I9" s="70" t="s">
        <v>52</v>
      </c>
      <c r="K9" s="33"/>
    </row>
    <row r="10" spans="1:16" x14ac:dyDescent="0.25">
      <c r="A10" s="19">
        <v>2025</v>
      </c>
      <c r="B10" s="35">
        <v>2.1240000000000001</v>
      </c>
      <c r="C10" s="35">
        <v>2.02</v>
      </c>
      <c r="D10" s="35"/>
      <c r="E10" s="35">
        <v>2.2349999999999999</v>
      </c>
      <c r="F10" s="35">
        <v>2.7669999999999999</v>
      </c>
      <c r="G10" s="35"/>
      <c r="H10" s="35">
        <v>4.093</v>
      </c>
      <c r="I10" s="35">
        <v>4.2880000000000003</v>
      </c>
      <c r="K10" s="43"/>
    </row>
    <row r="11" spans="1:16" x14ac:dyDescent="0.25">
      <c r="A11" s="19">
        <v>2026</v>
      </c>
      <c r="B11" s="35">
        <v>1.827</v>
      </c>
      <c r="C11" s="35">
        <v>2.3639999999999999</v>
      </c>
      <c r="D11" s="35"/>
      <c r="E11" s="35">
        <v>2.4409999999999998</v>
      </c>
      <c r="F11" s="35">
        <v>2.9239999999999999</v>
      </c>
      <c r="G11" s="35"/>
      <c r="H11" s="35">
        <v>3.9350000000000001</v>
      </c>
      <c r="I11" s="35">
        <v>4.1269999999999998</v>
      </c>
      <c r="K11" s="43"/>
    </row>
    <row r="12" spans="1:16" x14ac:dyDescent="0.25">
      <c r="A12" s="19">
        <v>2027</v>
      </c>
      <c r="B12" s="35">
        <v>1.7629999999999999</v>
      </c>
      <c r="C12" s="35">
        <v>1.861</v>
      </c>
      <c r="D12" s="35"/>
      <c r="E12" s="35">
        <v>2.3149999999999999</v>
      </c>
      <c r="F12" s="35">
        <v>2.5470000000000002</v>
      </c>
      <c r="G12" s="35"/>
      <c r="H12" s="35">
        <v>3.9140000000000001</v>
      </c>
      <c r="I12" s="35">
        <v>4.2539999999999996</v>
      </c>
      <c r="K12" s="43"/>
    </row>
    <row r="13" spans="1:16" x14ac:dyDescent="0.25">
      <c r="A13" s="19">
        <v>2028</v>
      </c>
      <c r="B13" s="35">
        <v>1.744</v>
      </c>
      <c r="C13" s="35">
        <v>1.8049999999999999</v>
      </c>
      <c r="D13" s="35"/>
      <c r="E13" s="35">
        <v>2.2570000000000001</v>
      </c>
      <c r="F13" s="35">
        <v>2.3610000000000002</v>
      </c>
      <c r="G13" s="35"/>
      <c r="H13" s="35">
        <v>3.8940000000000001</v>
      </c>
      <c r="I13" s="35">
        <v>4.3029999999999999</v>
      </c>
      <c r="K13" s="43"/>
    </row>
    <row r="14" spans="1:16" x14ac:dyDescent="0.25">
      <c r="A14" s="19">
        <v>2029</v>
      </c>
      <c r="B14" s="35">
        <v>1.786</v>
      </c>
      <c r="C14" s="35">
        <v>1.754</v>
      </c>
      <c r="D14" s="35"/>
      <c r="E14" s="35">
        <v>2.242</v>
      </c>
      <c r="F14" s="35">
        <v>2.2879999999999998</v>
      </c>
      <c r="G14" s="35"/>
      <c r="H14" s="35">
        <v>3.871</v>
      </c>
      <c r="I14" s="35">
        <v>4.3289999999999997</v>
      </c>
      <c r="K14" s="43"/>
    </row>
    <row r="15" spans="1:16" x14ac:dyDescent="0.25">
      <c r="A15" s="19">
        <v>2030</v>
      </c>
      <c r="B15" s="35">
        <v>1.821</v>
      </c>
      <c r="C15" s="35">
        <v>1.7829999999999999</v>
      </c>
      <c r="D15" s="35"/>
      <c r="E15" s="35">
        <v>2.2370000000000001</v>
      </c>
      <c r="F15" s="35">
        <v>2.2629999999999999</v>
      </c>
      <c r="G15" s="35"/>
      <c r="H15" s="35">
        <v>3.85</v>
      </c>
      <c r="I15" s="35">
        <v>4.3419999999999996</v>
      </c>
      <c r="K15" s="43"/>
    </row>
    <row r="16" spans="1:16" x14ac:dyDescent="0.25">
      <c r="A16" s="19">
        <v>2031</v>
      </c>
      <c r="B16" s="35">
        <v>1.8220000000000001</v>
      </c>
      <c r="C16" s="35">
        <v>1.776</v>
      </c>
      <c r="D16" s="35"/>
      <c r="E16" s="35">
        <v>2.2360000000000002</v>
      </c>
      <c r="F16" s="35">
        <v>2.258</v>
      </c>
      <c r="G16" s="35"/>
      <c r="H16" s="35">
        <v>3.8359999999999999</v>
      </c>
      <c r="I16" s="35">
        <v>4.351</v>
      </c>
      <c r="K16" s="43"/>
    </row>
    <row r="17" spans="1:11" x14ac:dyDescent="0.25">
      <c r="A17" s="19">
        <v>2032</v>
      </c>
      <c r="B17" s="35">
        <v>1.8420000000000001</v>
      </c>
      <c r="C17" s="35">
        <v>1.76</v>
      </c>
      <c r="D17" s="35"/>
      <c r="E17" s="35">
        <v>2.2389999999999999</v>
      </c>
      <c r="F17" s="35">
        <v>2.2570000000000001</v>
      </c>
      <c r="G17" s="35"/>
      <c r="H17" s="35">
        <v>3.8260000000000001</v>
      </c>
      <c r="I17" s="35">
        <v>4.359</v>
      </c>
      <c r="K17" s="43"/>
    </row>
    <row r="18" spans="1:11" x14ac:dyDescent="0.25">
      <c r="A18" s="19">
        <v>2033</v>
      </c>
      <c r="B18" s="35">
        <v>1.8260000000000001</v>
      </c>
      <c r="C18" s="35">
        <v>1.7669999999999999</v>
      </c>
      <c r="D18" s="35"/>
      <c r="E18" s="35">
        <v>2.242</v>
      </c>
      <c r="F18" s="35">
        <v>2.2559999999999998</v>
      </c>
      <c r="G18" s="35"/>
      <c r="H18" s="35">
        <v>3.8149999999999999</v>
      </c>
      <c r="I18" s="35">
        <v>4.3659999999999997</v>
      </c>
      <c r="K18" s="43"/>
    </row>
    <row r="19" spans="1:11" x14ac:dyDescent="0.25">
      <c r="A19" s="19">
        <v>2034</v>
      </c>
      <c r="B19" s="35">
        <v>1.7969999999999999</v>
      </c>
      <c r="C19" s="35">
        <v>1.7689999999999999</v>
      </c>
      <c r="D19" s="35"/>
      <c r="E19" s="35">
        <v>2.246</v>
      </c>
      <c r="F19" s="35">
        <v>2.2559999999999998</v>
      </c>
      <c r="G19" s="35"/>
      <c r="H19" s="35">
        <v>3.7970000000000002</v>
      </c>
      <c r="I19" s="35">
        <v>4.3739999999999997</v>
      </c>
      <c r="K19" s="43"/>
    </row>
    <row r="20" spans="1:11" x14ac:dyDescent="0.25">
      <c r="A20" s="19">
        <v>2035</v>
      </c>
      <c r="B20" s="35">
        <v>1.76</v>
      </c>
      <c r="C20" s="35">
        <v>1.772</v>
      </c>
      <c r="D20" s="35"/>
      <c r="E20" s="35">
        <v>2.25</v>
      </c>
      <c r="F20" s="35">
        <v>2.2570000000000001</v>
      </c>
      <c r="G20" s="35"/>
      <c r="H20" s="35">
        <v>3.7719999999999998</v>
      </c>
      <c r="I20" s="35">
        <v>4.3810000000000002</v>
      </c>
      <c r="K20" s="43"/>
    </row>
    <row r="21" spans="1:11" x14ac:dyDescent="0.25">
      <c r="A21" s="19">
        <v>2036</v>
      </c>
      <c r="B21" s="35">
        <v>1.724</v>
      </c>
      <c r="C21" s="35">
        <v>1.766</v>
      </c>
      <c r="D21" s="35"/>
      <c r="E21" s="35">
        <v>2.2530000000000001</v>
      </c>
      <c r="F21" s="35">
        <v>2.2570000000000001</v>
      </c>
      <c r="G21" s="35"/>
      <c r="H21" s="35">
        <v>3.7469999999999999</v>
      </c>
      <c r="I21" s="35">
        <v>4.3879999999999999</v>
      </c>
      <c r="K21" s="43"/>
    </row>
    <row r="22" spans="1:11" x14ac:dyDescent="0.25">
      <c r="A22" s="19">
        <v>2037</v>
      </c>
      <c r="B22" s="35">
        <v>1.6890000000000001</v>
      </c>
      <c r="C22" s="35">
        <v>1.75</v>
      </c>
      <c r="D22" s="35"/>
      <c r="E22" s="35">
        <v>2.2549999999999999</v>
      </c>
      <c r="F22" s="35">
        <v>2.258</v>
      </c>
      <c r="G22" s="35"/>
      <c r="H22" s="35">
        <v>3.73</v>
      </c>
      <c r="I22" s="35">
        <v>4.3940000000000001</v>
      </c>
      <c r="K22" s="43"/>
    </row>
    <row r="23" spans="1:11" x14ac:dyDescent="0.25">
      <c r="A23" s="19">
        <v>2038</v>
      </c>
      <c r="B23" s="35">
        <v>1.66</v>
      </c>
      <c r="C23" s="35">
        <v>1.744</v>
      </c>
      <c r="D23" s="35"/>
      <c r="E23" s="35">
        <v>2.258</v>
      </c>
      <c r="F23" s="35">
        <v>2.258</v>
      </c>
      <c r="G23" s="35"/>
      <c r="H23" s="35">
        <v>3.7189999999999999</v>
      </c>
      <c r="I23" s="35">
        <v>4.3979999999999997</v>
      </c>
      <c r="K23" s="43"/>
    </row>
    <row r="24" spans="1:11" x14ac:dyDescent="0.25">
      <c r="A24" s="19">
        <v>2039</v>
      </c>
      <c r="B24" s="35">
        <v>1.6279999999999999</v>
      </c>
      <c r="C24" s="35">
        <v>1.73</v>
      </c>
      <c r="D24" s="35"/>
      <c r="E24" s="35">
        <v>2.2599999999999998</v>
      </c>
      <c r="F24" s="35">
        <v>2.2589999999999999</v>
      </c>
      <c r="G24" s="35"/>
      <c r="H24" s="35">
        <v>3.7149999999999999</v>
      </c>
      <c r="I24" s="35">
        <v>4.4020000000000001</v>
      </c>
      <c r="K24" s="43"/>
    </row>
    <row r="25" spans="1:11" x14ac:dyDescent="0.25">
      <c r="A25" s="19">
        <v>2040</v>
      </c>
      <c r="B25" s="35">
        <v>1.6020000000000001</v>
      </c>
      <c r="C25" s="35">
        <v>1.746</v>
      </c>
      <c r="D25" s="35"/>
      <c r="E25" s="35">
        <v>2.262</v>
      </c>
      <c r="F25" s="35">
        <v>2.2599999999999998</v>
      </c>
      <c r="G25" s="35"/>
      <c r="H25" s="35">
        <v>3.7149999999999999</v>
      </c>
      <c r="I25" s="35">
        <v>4.4029999999999996</v>
      </c>
      <c r="K25" s="43"/>
    </row>
    <row r="26" spans="1:11" x14ac:dyDescent="0.25">
      <c r="A26" s="19">
        <v>2041</v>
      </c>
      <c r="B26" s="35">
        <v>1.569</v>
      </c>
      <c r="C26" s="35">
        <v>1.734</v>
      </c>
      <c r="D26" s="35"/>
      <c r="E26" s="35">
        <v>2.2629999999999999</v>
      </c>
      <c r="F26" s="35">
        <v>2.2599999999999998</v>
      </c>
      <c r="G26" s="35"/>
      <c r="H26" s="35">
        <v>3.718</v>
      </c>
      <c r="I26" s="35">
        <v>4.4039999999999999</v>
      </c>
      <c r="K26" s="43"/>
    </row>
    <row r="27" spans="1:11" x14ac:dyDescent="0.25">
      <c r="A27" s="19">
        <v>2042</v>
      </c>
      <c r="B27" s="35">
        <v>1.54</v>
      </c>
      <c r="C27" s="35">
        <v>1.712</v>
      </c>
      <c r="D27" s="35"/>
      <c r="E27" s="35">
        <v>2.2650000000000001</v>
      </c>
      <c r="F27" s="35">
        <v>2.2610000000000001</v>
      </c>
      <c r="G27" s="35"/>
      <c r="H27" s="35">
        <v>3.7240000000000002</v>
      </c>
      <c r="I27" s="35">
        <v>4.4020000000000001</v>
      </c>
      <c r="K27" s="43"/>
    </row>
    <row r="28" spans="1:11" x14ac:dyDescent="0.25">
      <c r="A28" s="19">
        <v>2043</v>
      </c>
      <c r="B28" s="35">
        <v>1.5169999999999999</v>
      </c>
      <c r="C28" s="35">
        <v>1.704</v>
      </c>
      <c r="D28" s="35"/>
      <c r="E28" s="35">
        <v>2.266</v>
      </c>
      <c r="F28" s="35">
        <v>2.262</v>
      </c>
      <c r="G28" s="35"/>
      <c r="H28" s="35">
        <v>3.73</v>
      </c>
      <c r="I28" s="35">
        <v>4.4000000000000004</v>
      </c>
      <c r="K28" s="43"/>
    </row>
    <row r="29" spans="1:11" x14ac:dyDescent="0.25">
      <c r="A29" s="19">
        <v>2044</v>
      </c>
      <c r="B29" s="35">
        <v>1.498</v>
      </c>
      <c r="C29" s="35">
        <v>1.6910000000000001</v>
      </c>
      <c r="D29" s="35"/>
      <c r="E29" s="35">
        <v>2.2669999999999999</v>
      </c>
      <c r="F29" s="35">
        <v>2.2629999999999999</v>
      </c>
      <c r="G29" s="35"/>
      <c r="H29" s="35">
        <v>3.7370000000000001</v>
      </c>
      <c r="I29" s="35">
        <v>4.3970000000000002</v>
      </c>
      <c r="K29" s="43"/>
    </row>
    <row r="30" spans="1:11" x14ac:dyDescent="0.25">
      <c r="A30" s="19">
        <v>2045</v>
      </c>
      <c r="B30" s="35">
        <v>1.48</v>
      </c>
      <c r="C30" s="35">
        <v>1.6459999999999999</v>
      </c>
      <c r="D30" s="35"/>
      <c r="E30" s="35">
        <v>2.2679999999999998</v>
      </c>
      <c r="F30" s="35">
        <v>2.2639999999999998</v>
      </c>
      <c r="G30" s="35"/>
      <c r="H30" s="35">
        <v>3.7429999999999999</v>
      </c>
      <c r="I30" s="35">
        <v>4.3929999999999998</v>
      </c>
      <c r="K30" s="43"/>
    </row>
    <row r="31" spans="1:11" x14ac:dyDescent="0.25">
      <c r="A31" s="19">
        <v>2046</v>
      </c>
      <c r="B31" s="35">
        <v>1.4630000000000001</v>
      </c>
      <c r="C31" s="35">
        <v>1.61</v>
      </c>
      <c r="D31" s="35"/>
      <c r="E31" s="35">
        <v>2.2690000000000001</v>
      </c>
      <c r="F31" s="35">
        <v>2.2650000000000001</v>
      </c>
      <c r="G31" s="35"/>
      <c r="H31" s="35">
        <v>3.7490000000000001</v>
      </c>
      <c r="I31" s="35">
        <v>4.3899999999999997</v>
      </c>
      <c r="K31" s="43"/>
    </row>
    <row r="32" spans="1:11" x14ac:dyDescent="0.25">
      <c r="A32" s="19">
        <v>2047</v>
      </c>
      <c r="B32" s="35">
        <v>1.446</v>
      </c>
      <c r="C32" s="35">
        <v>1.591</v>
      </c>
      <c r="D32" s="35"/>
      <c r="E32" s="35">
        <v>2.27</v>
      </c>
      <c r="F32" s="35">
        <v>2.2650000000000001</v>
      </c>
      <c r="G32" s="35"/>
      <c r="H32" s="35">
        <v>3.7530000000000001</v>
      </c>
      <c r="I32" s="35">
        <v>4.3869999999999996</v>
      </c>
      <c r="K32" s="43"/>
    </row>
    <row r="33" spans="1:11" x14ac:dyDescent="0.25">
      <c r="A33" s="19">
        <v>2048</v>
      </c>
      <c r="B33" s="35">
        <v>1.429</v>
      </c>
      <c r="C33" s="35">
        <v>1.5740000000000001</v>
      </c>
      <c r="D33" s="35"/>
      <c r="E33" s="35">
        <v>2.2709999999999999</v>
      </c>
      <c r="F33" s="35">
        <v>2.266</v>
      </c>
      <c r="G33" s="35"/>
      <c r="H33" s="35">
        <v>3.7570000000000001</v>
      </c>
      <c r="I33" s="35">
        <v>4.3860000000000001</v>
      </c>
      <c r="K33" s="43"/>
    </row>
    <row r="34" spans="1:11" x14ac:dyDescent="0.25">
      <c r="A34" s="19">
        <v>2049</v>
      </c>
      <c r="B34" s="35">
        <v>1.4139999999999999</v>
      </c>
      <c r="C34" s="35">
        <v>1.556</v>
      </c>
      <c r="D34" s="35"/>
      <c r="E34" s="35">
        <v>2.2709999999999999</v>
      </c>
      <c r="F34" s="35">
        <v>2.2669999999999999</v>
      </c>
      <c r="G34" s="35"/>
      <c r="H34" s="35">
        <v>3.7610000000000001</v>
      </c>
      <c r="I34" s="35">
        <v>4.3860000000000001</v>
      </c>
      <c r="K34" s="43"/>
    </row>
    <row r="35" spans="1:11" x14ac:dyDescent="0.25">
      <c r="A35" s="19">
        <v>2050</v>
      </c>
      <c r="B35" s="35">
        <v>1.3919999999999999</v>
      </c>
      <c r="C35" s="35">
        <v>1.532</v>
      </c>
      <c r="D35" s="35"/>
      <c r="E35" s="35">
        <v>2.2719999999999998</v>
      </c>
      <c r="F35" s="35">
        <v>2.2669999999999999</v>
      </c>
      <c r="G35" s="35"/>
      <c r="H35" s="35">
        <v>3.7639999999999998</v>
      </c>
      <c r="I35" s="35">
        <v>4.3879999999999999</v>
      </c>
      <c r="K35" s="43"/>
    </row>
    <row r="36" spans="1:11" x14ac:dyDescent="0.25">
      <c r="A36" s="19">
        <v>2051</v>
      </c>
      <c r="B36" s="35">
        <v>1.379</v>
      </c>
      <c r="C36" s="35">
        <v>1.514</v>
      </c>
      <c r="D36" s="35"/>
      <c r="E36" s="35">
        <v>2.2730000000000001</v>
      </c>
      <c r="F36" s="35">
        <v>2.2679999999999998</v>
      </c>
      <c r="G36" s="35"/>
      <c r="H36" s="35">
        <v>3.7669999999999999</v>
      </c>
      <c r="I36" s="35">
        <v>4.3920000000000003</v>
      </c>
      <c r="K36" s="43"/>
    </row>
    <row r="37" spans="1:11" x14ac:dyDescent="0.25">
      <c r="A37" s="19">
        <v>2052</v>
      </c>
      <c r="B37" s="35">
        <v>1.371</v>
      </c>
      <c r="C37" s="35">
        <v>1.5</v>
      </c>
      <c r="D37" s="35"/>
      <c r="E37" s="35">
        <v>2.274</v>
      </c>
      <c r="F37" s="35">
        <v>2.2690000000000001</v>
      </c>
      <c r="G37" s="35"/>
      <c r="H37" s="35">
        <v>3.7709999999999999</v>
      </c>
      <c r="I37" s="35">
        <v>4.3979999999999997</v>
      </c>
      <c r="K37" s="43"/>
    </row>
    <row r="38" spans="1:11" x14ac:dyDescent="0.25">
      <c r="A38" s="19">
        <v>2053</v>
      </c>
      <c r="B38" s="35">
        <v>1.3640000000000001</v>
      </c>
      <c r="C38" s="35">
        <v>1.492</v>
      </c>
      <c r="D38" s="35"/>
      <c r="E38" s="35">
        <v>2.274</v>
      </c>
      <c r="F38" s="35">
        <v>2.2690000000000001</v>
      </c>
      <c r="G38" s="35"/>
      <c r="H38" s="35">
        <v>3.7759999999999998</v>
      </c>
      <c r="I38" s="35">
        <v>4.4050000000000002</v>
      </c>
      <c r="K38" s="43"/>
    </row>
    <row r="39" spans="1:11" x14ac:dyDescent="0.25">
      <c r="A39" s="19">
        <v>2054</v>
      </c>
      <c r="B39" s="35">
        <v>1.359</v>
      </c>
      <c r="C39" s="35">
        <v>1.4850000000000001</v>
      </c>
      <c r="D39" s="35"/>
      <c r="E39" s="35">
        <v>2.2749999999999999</v>
      </c>
      <c r="F39" s="35">
        <v>2.27</v>
      </c>
      <c r="G39" s="35"/>
      <c r="H39" s="35">
        <v>3.78</v>
      </c>
      <c r="I39" s="35">
        <v>4.4139999999999997</v>
      </c>
      <c r="K39" s="43"/>
    </row>
    <row r="40" spans="1:11" x14ac:dyDescent="0.25">
      <c r="A40" s="19">
        <v>2055</v>
      </c>
      <c r="B40" s="35">
        <v>1.3560000000000001</v>
      </c>
      <c r="C40" s="35">
        <v>1.4830000000000001</v>
      </c>
      <c r="D40" s="35"/>
      <c r="E40" s="35">
        <v>2.2759999999999998</v>
      </c>
      <c r="F40" s="35">
        <v>2.27</v>
      </c>
      <c r="G40" s="35"/>
      <c r="H40" s="35">
        <v>3.7839999999999998</v>
      </c>
      <c r="I40" s="35">
        <v>4.423</v>
      </c>
      <c r="K40" s="43"/>
    </row>
    <row r="41" spans="1:11" x14ac:dyDescent="0.25">
      <c r="A41" s="160"/>
      <c r="B41" s="177"/>
      <c r="C41" s="177"/>
      <c r="D41" s="177"/>
      <c r="E41" s="177"/>
      <c r="F41" s="177"/>
      <c r="G41" s="177"/>
      <c r="H41" s="177"/>
      <c r="I41" s="177"/>
      <c r="K41" s="5"/>
    </row>
    <row r="43" spans="1:11" x14ac:dyDescent="0.25">
      <c r="A43" s="214" t="s">
        <v>73</v>
      </c>
      <c r="B43" s="214"/>
      <c r="C43" s="214"/>
      <c r="D43" s="214"/>
      <c r="E43" s="214"/>
      <c r="F43" s="214"/>
      <c r="G43" s="214"/>
      <c r="H43" s="214"/>
      <c r="I43" s="214"/>
    </row>
    <row r="44" spans="1:11" x14ac:dyDescent="0.25">
      <c r="A44" s="168"/>
      <c r="B44" s="168"/>
      <c r="C44" s="168"/>
      <c r="D44" s="168"/>
      <c r="E44" s="168"/>
      <c r="F44" s="168"/>
      <c r="G44" s="168"/>
      <c r="H44" s="168"/>
      <c r="I44" s="168"/>
    </row>
    <row r="45" spans="1:11" x14ac:dyDescent="0.25">
      <c r="A45" s="197" t="s">
        <v>171</v>
      </c>
      <c r="B45" s="197"/>
      <c r="C45" s="197"/>
      <c r="D45" s="197"/>
      <c r="E45" s="197"/>
      <c r="F45" s="197"/>
      <c r="G45" s="197"/>
      <c r="H45" s="197"/>
      <c r="I45" s="197"/>
    </row>
    <row r="46" spans="1:11" ht="33.75" customHeight="1" x14ac:dyDescent="0.25">
      <c r="A46" s="193" t="s">
        <v>109</v>
      </c>
      <c r="B46" s="193"/>
      <c r="C46" s="193"/>
      <c r="D46" s="193"/>
      <c r="E46" s="193"/>
      <c r="F46" s="193"/>
      <c r="G46" s="193"/>
      <c r="H46" s="193"/>
      <c r="I46" s="193"/>
    </row>
    <row r="47" spans="1:11" x14ac:dyDescent="0.25">
      <c r="A47" s="21"/>
      <c r="B47" s="21"/>
      <c r="C47" s="21"/>
      <c r="D47" s="21"/>
      <c r="E47" s="21"/>
      <c r="F47" s="21"/>
      <c r="G47" s="21"/>
      <c r="H47" s="21"/>
      <c r="I47" s="21"/>
    </row>
    <row r="48" spans="1:11" x14ac:dyDescent="0.25">
      <c r="A48" s="16"/>
    </row>
    <row r="49" spans="1:1" ht="14.4" x14ac:dyDescent="0.3">
      <c r="A49" s="191" t="s">
        <v>23</v>
      </c>
    </row>
  </sheetData>
  <mergeCells count="7">
    <mergeCell ref="A45:I45"/>
    <mergeCell ref="A46:I46"/>
    <mergeCell ref="A5:I5"/>
    <mergeCell ref="E8:F8"/>
    <mergeCell ref="B8:C8"/>
    <mergeCell ref="H8:I8"/>
    <mergeCell ref="A43:I43"/>
  </mergeCells>
  <hyperlinks>
    <hyperlink ref="A49" location="Contents!A1" display="Back to Table of Contents" xr:uid="{C247E28F-9084-4596-A316-43758B2181F3}"/>
    <hyperlink ref="A2" r:id="rId1" xr:uid="{4372FA43-9744-1145-A2AD-144AD0E4DD58}"/>
  </hyperlinks>
  <pageMargins left="0.7" right="0.7" top="0.75" bottom="0.75" header="0.3" footer="0.3"/>
  <pageSetup orientation="portrait" horizontalDpi="4294967295" verticalDpi="4294967295"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18398-7956-4512-B01E-69FF3A6FCF15}">
  <sheetPr codeName="Sheet18">
    <pageSetUpPr fitToPage="1"/>
  </sheetPr>
  <dimension ref="A1:P73"/>
  <sheetViews>
    <sheetView zoomScaleNormal="100" workbookViewId="0"/>
  </sheetViews>
  <sheetFormatPr defaultColWidth="9.44140625" defaultRowHeight="15" customHeight="1" x14ac:dyDescent="0.25"/>
  <cols>
    <col min="1" max="3" width="11.44140625" style="16" customWidth="1"/>
    <col min="4" max="4" width="1.44140625" style="16" customWidth="1"/>
    <col min="5" max="6" width="11.44140625" style="16" customWidth="1"/>
    <col min="7" max="7" width="8.44140625" style="16" customWidth="1"/>
    <col min="8" max="16384" width="9.44140625" style="16"/>
  </cols>
  <sheetData>
    <row r="1" spans="1:16" ht="15" customHeight="1" x14ac:dyDescent="0.3">
      <c r="A1" s="24" t="s">
        <v>215</v>
      </c>
      <c r="B1" s="10"/>
    </row>
    <row r="2" spans="1:16" ht="15" customHeight="1" x14ac:dyDescent="0.3">
      <c r="A2" s="186" t="s">
        <v>0</v>
      </c>
      <c r="B2" s="192"/>
    </row>
    <row r="5" spans="1:16" ht="30" customHeight="1" x14ac:dyDescent="0.25">
      <c r="A5" s="223" t="s">
        <v>156</v>
      </c>
      <c r="B5" s="223"/>
      <c r="C5" s="223"/>
      <c r="D5" s="223"/>
      <c r="E5" s="223"/>
      <c r="F5" s="223"/>
    </row>
    <row r="6" spans="1:16" s="85" customFormat="1" ht="15" customHeight="1" x14ac:dyDescent="0.25">
      <c r="A6" s="84" t="s">
        <v>34</v>
      </c>
      <c r="B6" s="84"/>
      <c r="C6" s="84"/>
      <c r="D6" s="21"/>
      <c r="E6" s="84"/>
      <c r="F6" s="84"/>
    </row>
    <row r="7" spans="1:16" s="85" customFormat="1" ht="15" customHeight="1" x14ac:dyDescent="0.25">
      <c r="D7" s="16"/>
    </row>
    <row r="8" spans="1:16" s="85" customFormat="1" ht="29.25" customHeight="1" x14ac:dyDescent="0.25">
      <c r="B8" s="148" t="s">
        <v>110</v>
      </c>
      <c r="C8" s="148"/>
      <c r="D8" s="16"/>
      <c r="E8" s="222" t="s">
        <v>111</v>
      </c>
      <c r="F8" s="222"/>
    </row>
    <row r="9" spans="1:16" s="137" customFormat="1" ht="29.25" customHeight="1" x14ac:dyDescent="0.25">
      <c r="A9" s="165"/>
      <c r="B9" s="165" t="s">
        <v>112</v>
      </c>
      <c r="C9" s="165" t="s">
        <v>52</v>
      </c>
      <c r="D9" s="136"/>
      <c r="E9" s="165" t="s">
        <v>112</v>
      </c>
      <c r="F9" s="165" t="s">
        <v>52</v>
      </c>
    </row>
    <row r="10" spans="1:16" s="85" customFormat="1" ht="15" customHeight="1" x14ac:dyDescent="0.25">
      <c r="A10" s="19">
        <v>2000</v>
      </c>
      <c r="B10" s="93">
        <v>2.2999999999999998</v>
      </c>
      <c r="C10" s="93">
        <v>1.423</v>
      </c>
      <c r="D10" s="43"/>
      <c r="E10" s="93">
        <v>67.08</v>
      </c>
      <c r="F10" s="93">
        <v>67.06</v>
      </c>
      <c r="G10" s="5"/>
      <c r="H10" s="5"/>
      <c r="I10" s="133"/>
      <c r="K10" s="133"/>
      <c r="N10" s="132"/>
      <c r="P10" s="132"/>
    </row>
    <row r="11" spans="1:16" s="85" customFormat="1" ht="15" customHeight="1" x14ac:dyDescent="0.25">
      <c r="A11" s="19">
        <v>2001</v>
      </c>
      <c r="B11" s="93">
        <v>0.82899999999999996</v>
      </c>
      <c r="C11" s="93">
        <v>0.81699999999999995</v>
      </c>
      <c r="D11" s="43"/>
      <c r="E11" s="93">
        <v>66.84</v>
      </c>
      <c r="F11" s="93">
        <v>66.77</v>
      </c>
      <c r="G11" s="5"/>
      <c r="H11" s="5"/>
      <c r="I11" s="133"/>
      <c r="K11" s="133"/>
      <c r="N11" s="132"/>
      <c r="P11" s="132"/>
    </row>
    <row r="12" spans="1:16" ht="15" customHeight="1" x14ac:dyDescent="0.25">
      <c r="A12" s="19">
        <v>2002</v>
      </c>
      <c r="B12" s="93">
        <v>0.75600000000000001</v>
      </c>
      <c r="C12" s="93">
        <v>0.66300000000000003</v>
      </c>
      <c r="D12" s="43"/>
      <c r="E12" s="93">
        <v>66.58</v>
      </c>
      <c r="F12" s="93">
        <v>66.42</v>
      </c>
      <c r="G12" s="5"/>
      <c r="H12" s="5"/>
      <c r="I12" s="133"/>
      <c r="J12" s="85"/>
      <c r="K12" s="133"/>
      <c r="L12" s="85"/>
      <c r="M12" s="85"/>
      <c r="N12" s="132"/>
      <c r="P12" s="132"/>
    </row>
    <row r="13" spans="1:16" ht="15" customHeight="1" x14ac:dyDescent="0.25">
      <c r="A13" s="19">
        <v>2003</v>
      </c>
      <c r="B13" s="93">
        <v>1.1339999999999999</v>
      </c>
      <c r="C13" s="93">
        <v>0.503</v>
      </c>
      <c r="D13" s="43"/>
      <c r="E13" s="93">
        <v>66.239999999999995</v>
      </c>
      <c r="F13" s="93">
        <v>66.02</v>
      </c>
      <c r="G13" s="5"/>
      <c r="H13" s="5"/>
      <c r="I13" s="133"/>
      <c r="J13" s="85"/>
      <c r="K13" s="133"/>
      <c r="L13" s="85"/>
      <c r="M13" s="85"/>
      <c r="N13" s="132"/>
      <c r="P13" s="132"/>
    </row>
    <row r="14" spans="1:16" ht="15" customHeight="1" x14ac:dyDescent="0.25">
      <c r="A14" s="19">
        <v>2004</v>
      </c>
      <c r="B14" s="93">
        <v>0.6</v>
      </c>
      <c r="C14" s="93">
        <v>0.75600000000000001</v>
      </c>
      <c r="D14" s="43"/>
      <c r="E14" s="93">
        <v>65.98</v>
      </c>
      <c r="F14" s="93">
        <v>65.760000000000005</v>
      </c>
      <c r="G14" s="85"/>
      <c r="H14" s="5"/>
      <c r="I14" s="133"/>
      <c r="J14" s="85"/>
      <c r="K14" s="133"/>
      <c r="L14" s="85"/>
      <c r="M14" s="85"/>
      <c r="N14" s="132"/>
      <c r="P14" s="132"/>
    </row>
    <row r="15" spans="1:16" ht="15" customHeight="1" x14ac:dyDescent="0.25">
      <c r="A15" s="19">
        <v>2005</v>
      </c>
      <c r="B15" s="93">
        <v>1.2949999999999999</v>
      </c>
      <c r="C15" s="93">
        <v>1.266</v>
      </c>
      <c r="D15" s="20"/>
      <c r="E15" s="93">
        <v>66.03</v>
      </c>
      <c r="F15" s="93">
        <v>65.790000000000006</v>
      </c>
      <c r="H15" s="5"/>
      <c r="I15" s="133"/>
      <c r="K15" s="133"/>
      <c r="N15" s="132"/>
      <c r="P15" s="132"/>
    </row>
    <row r="16" spans="1:16" ht="15" customHeight="1" x14ac:dyDescent="0.25">
      <c r="A16" s="19">
        <v>2006</v>
      </c>
      <c r="B16" s="93">
        <v>1.419</v>
      </c>
      <c r="C16" s="93">
        <v>1.464</v>
      </c>
      <c r="D16" s="20"/>
      <c r="E16" s="93">
        <v>66.17</v>
      </c>
      <c r="F16" s="93">
        <v>65.91</v>
      </c>
      <c r="H16" s="5"/>
      <c r="I16" s="133"/>
      <c r="K16" s="133"/>
      <c r="N16" s="132"/>
      <c r="P16" s="132"/>
    </row>
    <row r="17" spans="1:16" ht="15" customHeight="1" x14ac:dyDescent="0.25">
      <c r="A17" s="19">
        <v>2007</v>
      </c>
      <c r="B17" s="93">
        <v>1.1319999999999999</v>
      </c>
      <c r="C17" s="93">
        <v>0.95399999999999996</v>
      </c>
      <c r="D17" s="20"/>
      <c r="E17" s="93">
        <v>66.040000000000006</v>
      </c>
      <c r="F17" s="93">
        <v>65.72</v>
      </c>
      <c r="H17" s="5"/>
      <c r="I17" s="133"/>
      <c r="K17" s="133"/>
      <c r="N17" s="132"/>
      <c r="P17" s="132"/>
    </row>
    <row r="18" spans="1:16" ht="15" customHeight="1" x14ac:dyDescent="0.25">
      <c r="A18" s="19">
        <v>2008</v>
      </c>
      <c r="B18" s="93">
        <v>0.78200000000000003</v>
      </c>
      <c r="C18" s="93">
        <v>1.101</v>
      </c>
      <c r="D18" s="20"/>
      <c r="E18" s="93">
        <v>66.010000000000005</v>
      </c>
      <c r="F18" s="93">
        <v>65.69</v>
      </c>
      <c r="H18" s="5"/>
      <c r="I18" s="133"/>
      <c r="K18" s="133"/>
      <c r="N18" s="132"/>
      <c r="P18" s="132"/>
    </row>
    <row r="19" spans="1:16" ht="15" customHeight="1" x14ac:dyDescent="0.25">
      <c r="A19" s="19">
        <v>2009</v>
      </c>
      <c r="B19" s="93">
        <v>-8.5999999999999993E-2</v>
      </c>
      <c r="C19" s="93">
        <v>7.3999999999999996E-2</v>
      </c>
      <c r="D19" s="20"/>
      <c r="E19" s="93">
        <v>65.39</v>
      </c>
      <c r="F19" s="93">
        <v>65.05</v>
      </c>
      <c r="H19" s="5"/>
      <c r="I19" s="133"/>
      <c r="K19" s="133"/>
      <c r="N19" s="132"/>
      <c r="P19" s="132"/>
    </row>
    <row r="20" spans="1:16" ht="15" customHeight="1" x14ac:dyDescent="0.25">
      <c r="A20" s="19">
        <v>2010</v>
      </c>
      <c r="B20" s="93">
        <v>-0.19600000000000001</v>
      </c>
      <c r="C20" s="176">
        <v>-1.0999999999999999E-2</v>
      </c>
      <c r="D20" s="20"/>
      <c r="E20" s="93">
        <v>64.7</v>
      </c>
      <c r="F20" s="93">
        <v>64.39</v>
      </c>
      <c r="H20" s="5"/>
      <c r="I20" s="133"/>
      <c r="K20" s="133"/>
      <c r="N20" s="132"/>
      <c r="P20" s="132"/>
    </row>
    <row r="21" spans="1:16" ht="15" customHeight="1" x14ac:dyDescent="0.25">
      <c r="A21" s="19">
        <v>2011</v>
      </c>
      <c r="B21" s="93">
        <v>-0.16900000000000001</v>
      </c>
      <c r="C21" s="93">
        <v>0.221</v>
      </c>
      <c r="D21" s="20"/>
      <c r="E21" s="93">
        <v>64.11</v>
      </c>
      <c r="F21" s="93">
        <v>63.89</v>
      </c>
      <c r="H21" s="5"/>
      <c r="I21" s="133"/>
      <c r="K21" s="133"/>
      <c r="N21" s="132"/>
      <c r="P21" s="132"/>
    </row>
    <row r="22" spans="1:16" ht="15" customHeight="1" x14ac:dyDescent="0.25">
      <c r="A22" s="19">
        <v>2012</v>
      </c>
      <c r="B22" s="93">
        <v>0.878</v>
      </c>
      <c r="C22" s="93">
        <v>0.878</v>
      </c>
      <c r="D22" s="20"/>
      <c r="E22" s="93">
        <v>63.7</v>
      </c>
      <c r="F22" s="93">
        <v>63.8</v>
      </c>
      <c r="H22" s="5"/>
      <c r="I22" s="133"/>
      <c r="K22" s="133"/>
      <c r="N22" s="132"/>
      <c r="P22" s="132"/>
    </row>
    <row r="23" spans="1:16" ht="15" customHeight="1" x14ac:dyDescent="0.25">
      <c r="A23" s="19">
        <v>2013</v>
      </c>
      <c r="B23" s="93">
        <v>0.27300000000000002</v>
      </c>
      <c r="C23" s="93">
        <v>0.35</v>
      </c>
      <c r="D23" s="20"/>
      <c r="E23" s="93">
        <v>63.25</v>
      </c>
      <c r="F23" s="93">
        <v>63.41</v>
      </c>
      <c r="H23" s="5"/>
      <c r="I23" s="133"/>
      <c r="K23" s="133"/>
      <c r="N23" s="132"/>
      <c r="P23" s="132"/>
    </row>
    <row r="24" spans="1:16" ht="15" customHeight="1" x14ac:dyDescent="0.25">
      <c r="A24" s="19">
        <v>2014</v>
      </c>
      <c r="B24" s="93">
        <v>0.33600000000000002</v>
      </c>
      <c r="C24" s="93">
        <v>0.46200000000000002</v>
      </c>
      <c r="D24" s="20"/>
      <c r="E24" s="93">
        <v>62.88</v>
      </c>
      <c r="F24" s="93">
        <v>63.08</v>
      </c>
      <c r="H24" s="5"/>
      <c r="I24" s="133"/>
      <c r="K24" s="133"/>
      <c r="N24" s="132"/>
      <c r="P24" s="132"/>
    </row>
    <row r="25" spans="1:16" ht="15" customHeight="1" x14ac:dyDescent="0.25">
      <c r="A25" s="19">
        <v>2015</v>
      </c>
      <c r="B25" s="93">
        <v>0.78100000000000003</v>
      </c>
      <c r="C25" s="93">
        <v>0.69</v>
      </c>
      <c r="D25" s="20"/>
      <c r="E25" s="93">
        <v>62.65</v>
      </c>
      <c r="F25" s="93">
        <v>62.88</v>
      </c>
      <c r="H25" s="5"/>
      <c r="I25" s="133"/>
      <c r="K25" s="133"/>
      <c r="N25" s="132"/>
      <c r="P25" s="132"/>
    </row>
    <row r="26" spans="1:16" ht="15" customHeight="1" x14ac:dyDescent="0.25">
      <c r="A26" s="19">
        <v>2016</v>
      </c>
      <c r="B26" s="93">
        <v>1.304</v>
      </c>
      <c r="C26" s="93">
        <v>1.248</v>
      </c>
      <c r="D26" s="20"/>
      <c r="E26" s="93">
        <v>62.79</v>
      </c>
      <c r="F26" s="93">
        <v>63.05</v>
      </c>
      <c r="H26" s="5"/>
      <c r="I26" s="133"/>
      <c r="K26" s="133"/>
      <c r="N26" s="132"/>
      <c r="P26" s="132"/>
    </row>
    <row r="27" spans="1:16" ht="15" customHeight="1" x14ac:dyDescent="0.25">
      <c r="A27" s="19">
        <v>2017</v>
      </c>
      <c r="B27" s="93">
        <v>0.71099999999999997</v>
      </c>
      <c r="C27" s="93">
        <v>1.0609999999999999</v>
      </c>
      <c r="D27" s="20"/>
      <c r="E27" s="93">
        <v>62.85</v>
      </c>
      <c r="F27" s="93">
        <v>63.15</v>
      </c>
      <c r="H27" s="5"/>
      <c r="I27" s="133"/>
      <c r="K27" s="133"/>
      <c r="N27" s="132"/>
      <c r="P27" s="132"/>
    </row>
    <row r="28" spans="1:16" ht="15" customHeight="1" x14ac:dyDescent="0.25">
      <c r="A28" s="19">
        <v>2018</v>
      </c>
      <c r="B28" s="93">
        <v>1.097</v>
      </c>
      <c r="C28" s="93">
        <v>0.83399999999999996</v>
      </c>
      <c r="D28" s="20"/>
      <c r="E28" s="93">
        <v>62.87</v>
      </c>
      <c r="F28" s="93">
        <v>63.19</v>
      </c>
      <c r="H28" s="5"/>
      <c r="I28" s="133"/>
      <c r="K28" s="133"/>
      <c r="N28" s="132"/>
      <c r="P28" s="132"/>
    </row>
    <row r="29" spans="1:16" ht="15" customHeight="1" x14ac:dyDescent="0.25">
      <c r="A29" s="19">
        <v>2019</v>
      </c>
      <c r="B29" s="93">
        <v>0.89900000000000002</v>
      </c>
      <c r="C29" s="93">
        <v>1.1659999999999999</v>
      </c>
      <c r="D29" s="20"/>
      <c r="E29" s="93">
        <v>63.1</v>
      </c>
      <c r="F29" s="93">
        <v>63.47</v>
      </c>
      <c r="H29" s="5"/>
      <c r="I29" s="133"/>
      <c r="K29" s="133"/>
      <c r="N29" s="132"/>
      <c r="P29" s="132"/>
    </row>
    <row r="30" spans="1:16" ht="15" customHeight="1" x14ac:dyDescent="0.25">
      <c r="A30" s="19">
        <v>2020</v>
      </c>
      <c r="B30" s="93">
        <v>-1.6930000000000001</v>
      </c>
      <c r="C30" s="93">
        <v>-1.7809999999999999</v>
      </c>
      <c r="D30" s="20"/>
      <c r="E30" s="93">
        <v>61.76</v>
      </c>
      <c r="F30" s="93">
        <v>61.94</v>
      </c>
      <c r="H30" s="5"/>
      <c r="I30" s="133"/>
      <c r="K30" s="133"/>
      <c r="N30" s="132"/>
      <c r="P30" s="132"/>
    </row>
    <row r="31" spans="1:16" ht="15" customHeight="1" x14ac:dyDescent="0.25">
      <c r="A31" s="19">
        <v>2021</v>
      </c>
      <c r="B31" s="93">
        <v>0.27700000000000002</v>
      </c>
      <c r="C31" s="93">
        <v>0.48099999999999998</v>
      </c>
      <c r="D31" s="20"/>
      <c r="E31" s="93">
        <v>61.66</v>
      </c>
      <c r="F31" s="93">
        <v>61.85</v>
      </c>
      <c r="H31" s="5"/>
      <c r="I31" s="133"/>
      <c r="K31" s="133"/>
      <c r="N31" s="132"/>
      <c r="P31" s="132"/>
    </row>
    <row r="32" spans="1:16" ht="15" customHeight="1" x14ac:dyDescent="0.25">
      <c r="A32" s="19">
        <v>2022</v>
      </c>
      <c r="B32" s="93">
        <v>1.909</v>
      </c>
      <c r="C32" s="93">
        <v>1.7350000000000001</v>
      </c>
      <c r="D32" s="20"/>
      <c r="E32" s="93">
        <v>62.24</v>
      </c>
      <c r="F32" s="93">
        <v>62.36</v>
      </c>
      <c r="H32" s="5"/>
      <c r="I32" s="133"/>
      <c r="K32" s="133"/>
      <c r="N32" s="132"/>
      <c r="P32" s="132"/>
    </row>
    <row r="33" spans="1:16" ht="15" customHeight="1" x14ac:dyDescent="0.25">
      <c r="A33" s="19">
        <v>2023</v>
      </c>
      <c r="B33" s="93">
        <v>1.722</v>
      </c>
      <c r="C33" s="93">
        <v>1.9690000000000001</v>
      </c>
      <c r="D33" s="20"/>
      <c r="E33" s="93">
        <v>62.61</v>
      </c>
      <c r="F33" s="93">
        <v>62.77</v>
      </c>
      <c r="H33" s="5"/>
      <c r="I33" s="133"/>
      <c r="K33" s="133"/>
      <c r="N33" s="132"/>
      <c r="P33" s="132"/>
    </row>
    <row r="34" spans="1:16" ht="15" customHeight="1" x14ac:dyDescent="0.25">
      <c r="A34" s="19">
        <v>2024</v>
      </c>
      <c r="B34" s="93">
        <v>0.67</v>
      </c>
      <c r="C34" s="93">
        <v>1.6220000000000001</v>
      </c>
      <c r="D34" s="20"/>
      <c r="E34" s="93">
        <v>62.64</v>
      </c>
      <c r="F34" s="93">
        <v>62.91</v>
      </c>
      <c r="H34" s="5"/>
      <c r="I34" s="133"/>
      <c r="K34" s="133"/>
      <c r="N34" s="132"/>
      <c r="P34" s="132"/>
    </row>
    <row r="35" spans="1:16" ht="15" customHeight="1" x14ac:dyDescent="0.25">
      <c r="A35" s="160">
        <v>2025</v>
      </c>
      <c r="B35" s="140">
        <v>1.4379999999999999</v>
      </c>
      <c r="C35" s="140">
        <v>0.47099999999999997</v>
      </c>
      <c r="D35" s="163"/>
      <c r="E35" s="140">
        <v>62.65</v>
      </c>
      <c r="F35" s="140">
        <v>62.55</v>
      </c>
      <c r="G35" s="21"/>
      <c r="H35" s="5"/>
      <c r="I35" s="133"/>
      <c r="K35" s="133"/>
      <c r="N35" s="132"/>
      <c r="P35" s="132"/>
    </row>
    <row r="36" spans="1:16" ht="15" customHeight="1" x14ac:dyDescent="0.25">
      <c r="A36" s="19">
        <v>2026</v>
      </c>
      <c r="B36" s="93">
        <v>1.589</v>
      </c>
      <c r="C36" s="93">
        <v>0.498</v>
      </c>
      <c r="D36" s="20"/>
      <c r="E36" s="93">
        <v>62.42</v>
      </c>
      <c r="F36" s="93">
        <v>62.45</v>
      </c>
      <c r="G36" s="16" t="s">
        <v>61</v>
      </c>
      <c r="H36" s="5"/>
      <c r="I36" s="133"/>
      <c r="K36" s="133"/>
      <c r="N36" s="132"/>
      <c r="P36" s="132"/>
    </row>
    <row r="37" spans="1:16" ht="15" customHeight="1" x14ac:dyDescent="0.25">
      <c r="A37" s="19">
        <v>2027</v>
      </c>
      <c r="B37" s="93">
        <v>0.36399999999999999</v>
      </c>
      <c r="C37" s="93">
        <v>0.4</v>
      </c>
      <c r="D37" s="20"/>
      <c r="E37" s="93">
        <v>62.11</v>
      </c>
      <c r="F37" s="93">
        <v>62.38</v>
      </c>
      <c r="H37" s="5"/>
      <c r="I37" s="133"/>
      <c r="K37" s="133"/>
      <c r="N37" s="132"/>
      <c r="P37" s="132"/>
    </row>
    <row r="38" spans="1:16" ht="15" customHeight="1" x14ac:dyDescent="0.25">
      <c r="A38" s="19">
        <v>2028</v>
      </c>
      <c r="B38" s="93">
        <v>0.34899999999999998</v>
      </c>
      <c r="C38" s="93">
        <v>0.41099999999999998</v>
      </c>
      <c r="D38" s="20"/>
      <c r="E38" s="93">
        <v>61.88</v>
      </c>
      <c r="F38" s="93">
        <v>62.3</v>
      </c>
      <c r="H38" s="5"/>
      <c r="I38" s="133"/>
      <c r="K38" s="133"/>
      <c r="N38" s="132"/>
      <c r="P38" s="132"/>
    </row>
    <row r="39" spans="1:16" ht="15" customHeight="1" x14ac:dyDescent="0.25">
      <c r="A39" s="19">
        <v>2029</v>
      </c>
      <c r="B39" s="93">
        <v>0.38900000000000001</v>
      </c>
      <c r="C39" s="93">
        <v>0.43</v>
      </c>
      <c r="D39" s="20"/>
      <c r="E39" s="93">
        <v>61.73</v>
      </c>
      <c r="F39" s="93">
        <v>62.23</v>
      </c>
      <c r="H39" s="5"/>
      <c r="I39" s="133"/>
      <c r="K39" s="133"/>
      <c r="N39" s="132"/>
      <c r="P39" s="132"/>
    </row>
    <row r="40" spans="1:16" ht="15" customHeight="1" x14ac:dyDescent="0.25">
      <c r="A40" s="19">
        <v>2030</v>
      </c>
      <c r="B40" s="93">
        <v>0.41899999999999998</v>
      </c>
      <c r="C40" s="93">
        <v>0.45700000000000002</v>
      </c>
      <c r="D40" s="20"/>
      <c r="E40" s="93">
        <v>61.63</v>
      </c>
      <c r="F40" s="93">
        <v>62.16</v>
      </c>
      <c r="H40" s="5"/>
      <c r="I40" s="133"/>
      <c r="K40" s="133"/>
      <c r="N40" s="132"/>
      <c r="P40" s="132"/>
    </row>
    <row r="41" spans="1:16" ht="15" customHeight="1" x14ac:dyDescent="0.25">
      <c r="A41" s="19">
        <v>2031</v>
      </c>
      <c r="B41" s="93">
        <v>0.437</v>
      </c>
      <c r="C41" s="93">
        <v>0.46100000000000002</v>
      </c>
      <c r="D41" s="20"/>
      <c r="E41" s="93">
        <v>61.55</v>
      </c>
      <c r="F41" s="93">
        <v>62.09</v>
      </c>
      <c r="H41" s="5"/>
      <c r="I41" s="133"/>
      <c r="K41" s="133"/>
      <c r="N41" s="132"/>
      <c r="P41" s="132"/>
    </row>
    <row r="42" spans="1:16" ht="15" customHeight="1" x14ac:dyDescent="0.25">
      <c r="A42" s="19">
        <v>2032</v>
      </c>
      <c r="B42" s="93">
        <v>0.42799999999999999</v>
      </c>
      <c r="C42" s="93">
        <v>0.432</v>
      </c>
      <c r="D42" s="20"/>
      <c r="E42" s="93">
        <v>61.48</v>
      </c>
      <c r="F42" s="93">
        <v>62.03</v>
      </c>
      <c r="H42" s="5"/>
      <c r="I42" s="133"/>
      <c r="K42" s="133"/>
      <c r="N42" s="132"/>
      <c r="P42" s="132"/>
    </row>
    <row r="43" spans="1:16" ht="15" customHeight="1" x14ac:dyDescent="0.25">
      <c r="A43" s="19">
        <v>2033</v>
      </c>
      <c r="B43" s="93">
        <v>0.34799999999999998</v>
      </c>
      <c r="C43" s="93">
        <v>0.39300000000000002</v>
      </c>
      <c r="D43" s="20"/>
      <c r="E43" s="93">
        <v>61.43</v>
      </c>
      <c r="F43" s="93">
        <v>61.97</v>
      </c>
      <c r="H43" s="5"/>
      <c r="I43" s="133"/>
      <c r="K43" s="133"/>
      <c r="N43" s="132"/>
      <c r="P43" s="132"/>
    </row>
    <row r="44" spans="1:16" ht="15" customHeight="1" x14ac:dyDescent="0.25">
      <c r="A44" s="19">
        <v>2034</v>
      </c>
      <c r="B44" s="93">
        <v>0.34699999999999998</v>
      </c>
      <c r="C44" s="93">
        <v>0.35599999999999998</v>
      </c>
      <c r="D44" s="20"/>
      <c r="E44" s="93">
        <v>61.39</v>
      </c>
      <c r="F44" s="93">
        <v>61.93</v>
      </c>
      <c r="H44" s="5"/>
      <c r="I44" s="133"/>
      <c r="K44" s="133"/>
      <c r="N44" s="132"/>
      <c r="P44" s="132"/>
    </row>
    <row r="45" spans="1:16" ht="15" customHeight="1" x14ac:dyDescent="0.25">
      <c r="A45" s="19">
        <v>2035</v>
      </c>
      <c r="B45" s="93">
        <v>0.33</v>
      </c>
      <c r="C45" s="93">
        <v>0.33700000000000002</v>
      </c>
      <c r="D45" s="20"/>
      <c r="E45" s="93">
        <v>61.37</v>
      </c>
      <c r="F45" s="93">
        <v>61.9</v>
      </c>
      <c r="H45" s="5"/>
      <c r="I45" s="133"/>
      <c r="K45" s="133"/>
      <c r="N45" s="132"/>
      <c r="P45" s="132"/>
    </row>
    <row r="46" spans="1:16" ht="15" customHeight="1" x14ac:dyDescent="0.25">
      <c r="A46" s="19">
        <v>2036</v>
      </c>
      <c r="B46" s="93">
        <v>0.313</v>
      </c>
      <c r="C46" s="93">
        <v>0.32100000000000001</v>
      </c>
      <c r="D46" s="20"/>
      <c r="E46" s="93">
        <v>61.36</v>
      </c>
      <c r="F46" s="93">
        <v>61.88</v>
      </c>
      <c r="H46" s="5"/>
      <c r="I46" s="133"/>
      <c r="K46" s="133"/>
      <c r="N46" s="132"/>
      <c r="P46" s="132"/>
    </row>
    <row r="47" spans="1:16" ht="15" customHeight="1" x14ac:dyDescent="0.25">
      <c r="A47" s="19">
        <v>2037</v>
      </c>
      <c r="B47" s="93">
        <v>0.29699999999999999</v>
      </c>
      <c r="C47" s="93">
        <v>0.309</v>
      </c>
      <c r="D47" s="20"/>
      <c r="E47" s="93">
        <v>61.37</v>
      </c>
      <c r="F47" s="93">
        <v>61.88</v>
      </c>
      <c r="H47" s="5"/>
      <c r="I47" s="133"/>
      <c r="K47" s="133"/>
      <c r="N47" s="132"/>
      <c r="P47" s="132"/>
    </row>
    <row r="48" spans="1:16" ht="15" customHeight="1" x14ac:dyDescent="0.25">
      <c r="A48" s="19">
        <v>2038</v>
      </c>
      <c r="B48" s="93">
        <v>0.28999999999999998</v>
      </c>
      <c r="C48" s="93">
        <v>0.314</v>
      </c>
      <c r="D48" s="20"/>
      <c r="E48" s="93">
        <v>61.37</v>
      </c>
      <c r="F48" s="93">
        <v>61.89</v>
      </c>
      <c r="H48" s="5"/>
      <c r="I48" s="133"/>
      <c r="K48" s="133"/>
      <c r="N48" s="132"/>
      <c r="P48" s="132"/>
    </row>
    <row r="49" spans="1:16" ht="15" customHeight="1" x14ac:dyDescent="0.25">
      <c r="A49" s="19">
        <v>2039</v>
      </c>
      <c r="B49" s="93">
        <v>0.26800000000000002</v>
      </c>
      <c r="C49" s="93">
        <v>0.311</v>
      </c>
      <c r="D49" s="20"/>
      <c r="E49" s="93">
        <v>61.38</v>
      </c>
      <c r="F49" s="93">
        <v>61.9</v>
      </c>
      <c r="H49" s="5"/>
      <c r="I49" s="133"/>
      <c r="K49" s="133"/>
      <c r="N49" s="132"/>
      <c r="P49" s="132"/>
    </row>
    <row r="50" spans="1:16" ht="15" customHeight="1" x14ac:dyDescent="0.25">
      <c r="A50" s="19">
        <v>2040</v>
      </c>
      <c r="B50" s="93">
        <v>0.247</v>
      </c>
      <c r="C50" s="93">
        <v>0.29099999999999998</v>
      </c>
      <c r="D50" s="20"/>
      <c r="E50" s="93">
        <v>61.39</v>
      </c>
      <c r="F50" s="93">
        <v>61.92</v>
      </c>
      <c r="H50" s="5"/>
      <c r="I50" s="133"/>
      <c r="K50" s="133"/>
      <c r="N50" s="132"/>
      <c r="P50" s="132"/>
    </row>
    <row r="51" spans="1:16" ht="15" customHeight="1" x14ac:dyDescent="0.25">
      <c r="A51" s="19">
        <v>2041</v>
      </c>
      <c r="B51" s="93">
        <v>0.23400000000000001</v>
      </c>
      <c r="C51" s="93">
        <v>0.27400000000000002</v>
      </c>
      <c r="D51" s="20"/>
      <c r="E51" s="93">
        <v>61.4</v>
      </c>
      <c r="F51" s="93">
        <v>61.94</v>
      </c>
      <c r="H51" s="5"/>
      <c r="I51" s="133"/>
      <c r="K51" s="133"/>
      <c r="N51" s="132"/>
      <c r="P51" s="132"/>
    </row>
    <row r="52" spans="1:16" ht="15" customHeight="1" x14ac:dyDescent="0.25">
      <c r="A52" s="19">
        <v>2042</v>
      </c>
      <c r="B52" s="93">
        <v>0.216</v>
      </c>
      <c r="C52" s="93">
        <v>0.26100000000000001</v>
      </c>
      <c r="D52" s="20"/>
      <c r="E52" s="93">
        <v>61.4</v>
      </c>
      <c r="F52" s="93">
        <v>61.97</v>
      </c>
      <c r="H52" s="5"/>
      <c r="I52" s="133"/>
      <c r="K52" s="133"/>
      <c r="N52" s="132"/>
      <c r="P52" s="132"/>
    </row>
    <row r="53" spans="1:16" ht="15" customHeight="1" x14ac:dyDescent="0.25">
      <c r="A53" s="19">
        <v>2043</v>
      </c>
      <c r="B53" s="93">
        <v>0.19900000000000001</v>
      </c>
      <c r="C53" s="93">
        <v>0.246</v>
      </c>
      <c r="D53" s="20"/>
      <c r="E53" s="93">
        <v>61.41</v>
      </c>
      <c r="F53" s="93">
        <v>62</v>
      </c>
      <c r="H53" s="5"/>
      <c r="I53" s="133"/>
      <c r="K53" s="133"/>
      <c r="N53" s="132"/>
      <c r="P53" s="132"/>
    </row>
    <row r="54" spans="1:16" ht="15" customHeight="1" x14ac:dyDescent="0.25">
      <c r="A54" s="19">
        <v>2044</v>
      </c>
      <c r="B54" s="93">
        <v>0.184</v>
      </c>
      <c r="C54" s="93">
        <v>0.22700000000000001</v>
      </c>
      <c r="D54" s="20"/>
      <c r="E54" s="93">
        <v>61.41</v>
      </c>
      <c r="F54" s="93">
        <v>62.03</v>
      </c>
      <c r="H54" s="5"/>
      <c r="I54" s="133"/>
      <c r="K54" s="133"/>
      <c r="N54" s="132"/>
      <c r="P54" s="132"/>
    </row>
    <row r="55" spans="1:16" ht="15" customHeight="1" x14ac:dyDescent="0.25">
      <c r="A55" s="19">
        <v>2045</v>
      </c>
      <c r="B55" s="93">
        <v>0.17299999999999999</v>
      </c>
      <c r="C55" s="93">
        <v>0.20699999999999999</v>
      </c>
      <c r="D55" s="20"/>
      <c r="E55" s="93">
        <v>61.42</v>
      </c>
      <c r="F55" s="93">
        <v>62.06</v>
      </c>
      <c r="H55" s="5"/>
      <c r="I55" s="133"/>
      <c r="K55" s="133"/>
      <c r="N55" s="132"/>
      <c r="P55" s="132"/>
    </row>
    <row r="56" spans="1:16" ht="15" customHeight="1" x14ac:dyDescent="0.25">
      <c r="A56" s="19">
        <v>2046</v>
      </c>
      <c r="B56" s="93">
        <v>0.16300000000000001</v>
      </c>
      <c r="C56" s="93">
        <v>0.191</v>
      </c>
      <c r="D56" s="20"/>
      <c r="E56" s="93">
        <v>61.42</v>
      </c>
      <c r="F56" s="93">
        <v>62.09</v>
      </c>
      <c r="H56" s="5"/>
      <c r="I56" s="133"/>
      <c r="K56" s="133"/>
      <c r="N56" s="132"/>
      <c r="P56" s="132"/>
    </row>
    <row r="57" spans="1:16" ht="15" customHeight="1" x14ac:dyDescent="0.25">
      <c r="A57" s="19">
        <v>2047</v>
      </c>
      <c r="B57" s="93">
        <v>0.15</v>
      </c>
      <c r="C57" s="93">
        <v>0.18</v>
      </c>
      <c r="D57" s="20"/>
      <c r="E57" s="93">
        <v>61.43</v>
      </c>
      <c r="F57" s="93">
        <v>62.12</v>
      </c>
      <c r="H57" s="5"/>
      <c r="I57" s="133"/>
      <c r="K57" s="133"/>
      <c r="N57" s="132"/>
      <c r="P57" s="132"/>
    </row>
    <row r="58" spans="1:16" ht="15" customHeight="1" x14ac:dyDescent="0.25">
      <c r="A58" s="19">
        <v>2048</v>
      </c>
      <c r="B58" s="93">
        <v>0.13200000000000001</v>
      </c>
      <c r="C58" s="93">
        <v>0.16900000000000001</v>
      </c>
      <c r="D58" s="20"/>
      <c r="E58" s="93">
        <v>61.42</v>
      </c>
      <c r="F58" s="93">
        <v>62.15</v>
      </c>
      <c r="H58" s="5"/>
      <c r="I58" s="133"/>
      <c r="K58" s="133"/>
      <c r="N58" s="132"/>
      <c r="P58" s="132"/>
    </row>
    <row r="59" spans="1:16" ht="15" customHeight="1" x14ac:dyDescent="0.25">
      <c r="A59" s="19">
        <v>2049</v>
      </c>
      <c r="B59" s="93">
        <v>0.11</v>
      </c>
      <c r="C59" s="93">
        <v>0.153</v>
      </c>
      <c r="D59" s="20"/>
      <c r="E59" s="93">
        <v>61.41</v>
      </c>
      <c r="F59" s="93">
        <v>62.17</v>
      </c>
      <c r="H59" s="5"/>
      <c r="I59" s="133"/>
      <c r="K59" s="133"/>
      <c r="N59" s="132"/>
      <c r="P59" s="132"/>
    </row>
    <row r="60" spans="1:16" ht="15" customHeight="1" x14ac:dyDescent="0.25">
      <c r="A60" s="19">
        <v>2050</v>
      </c>
      <c r="B60" s="93">
        <v>9.4E-2</v>
      </c>
      <c r="C60" s="93">
        <v>0.13500000000000001</v>
      </c>
      <c r="D60" s="20"/>
      <c r="E60" s="93">
        <v>61.39</v>
      </c>
      <c r="F60" s="93">
        <v>62.18</v>
      </c>
      <c r="H60" s="5"/>
      <c r="I60" s="133"/>
      <c r="K60" s="133"/>
      <c r="N60" s="132"/>
      <c r="P60" s="132"/>
    </row>
    <row r="61" spans="1:16" ht="15" customHeight="1" x14ac:dyDescent="0.25">
      <c r="A61" s="19">
        <v>2051</v>
      </c>
      <c r="B61" s="93">
        <v>8.2000000000000003E-2</v>
      </c>
      <c r="C61" s="93">
        <v>0.11899999999999999</v>
      </c>
      <c r="D61" s="20"/>
      <c r="E61" s="93">
        <v>61.37</v>
      </c>
      <c r="F61" s="93">
        <v>62.19</v>
      </c>
      <c r="H61" s="5"/>
      <c r="I61" s="133"/>
      <c r="K61" s="133"/>
      <c r="N61" s="132"/>
      <c r="P61" s="132"/>
    </row>
    <row r="62" spans="1:16" ht="13.8" x14ac:dyDescent="0.25">
      <c r="A62" s="19">
        <v>2052</v>
      </c>
      <c r="B62" s="93">
        <v>7.1999999999999995E-2</v>
      </c>
      <c r="C62" s="93">
        <v>0.106</v>
      </c>
      <c r="D62" s="20"/>
      <c r="E62" s="93">
        <v>61.34</v>
      </c>
      <c r="F62" s="93">
        <v>62.19</v>
      </c>
      <c r="H62" s="5"/>
      <c r="I62" s="133"/>
      <c r="K62" s="133"/>
      <c r="N62" s="132"/>
      <c r="P62" s="132"/>
    </row>
    <row r="63" spans="1:16" ht="13.8" x14ac:dyDescent="0.25">
      <c r="A63" s="19">
        <v>2053</v>
      </c>
      <c r="B63" s="93">
        <v>6.5000000000000002E-2</v>
      </c>
      <c r="C63" s="93">
        <v>9.8000000000000004E-2</v>
      </c>
      <c r="D63" s="20"/>
      <c r="E63" s="93">
        <v>61.3</v>
      </c>
      <c r="F63" s="93">
        <v>62.18</v>
      </c>
      <c r="H63" s="5"/>
      <c r="I63" s="133"/>
      <c r="K63" s="133"/>
      <c r="N63" s="132"/>
      <c r="P63" s="132"/>
    </row>
    <row r="64" spans="1:16" ht="13.8" x14ac:dyDescent="0.25">
      <c r="A64" s="19">
        <v>2054</v>
      </c>
      <c r="B64" s="93">
        <v>5.7000000000000002E-2</v>
      </c>
      <c r="C64" s="93">
        <v>9.1999999999999998E-2</v>
      </c>
      <c r="D64" s="20"/>
      <c r="E64" s="93">
        <v>61.26</v>
      </c>
      <c r="F64" s="93">
        <v>62.17</v>
      </c>
      <c r="H64" s="5"/>
      <c r="I64" s="133"/>
      <c r="K64" s="133"/>
      <c r="N64" s="132"/>
      <c r="P64" s="132"/>
    </row>
    <row r="65" spans="1:16" ht="13.8" x14ac:dyDescent="0.25">
      <c r="A65" s="19">
        <v>2055</v>
      </c>
      <c r="B65" s="93">
        <v>5.1999999999999998E-2</v>
      </c>
      <c r="C65" s="93">
        <v>8.5000000000000006E-2</v>
      </c>
      <c r="D65" s="20"/>
      <c r="E65" s="93">
        <v>61.22</v>
      </c>
      <c r="F65" s="93">
        <v>62.15</v>
      </c>
      <c r="H65" s="5"/>
      <c r="I65" s="133"/>
      <c r="K65" s="133"/>
      <c r="N65" s="132"/>
      <c r="P65" s="132"/>
    </row>
    <row r="66" spans="1:16" ht="13.8" x14ac:dyDescent="0.25">
      <c r="D66" s="21"/>
      <c r="E66" s="21"/>
      <c r="F66" s="21"/>
      <c r="G66" s="85"/>
      <c r="H66" s="5"/>
      <c r="I66" s="133"/>
      <c r="K66" s="133"/>
      <c r="N66" s="132"/>
      <c r="P66" s="132"/>
    </row>
    <row r="67" spans="1:16" ht="13.8" x14ac:dyDescent="0.25">
      <c r="A67" s="86"/>
      <c r="B67" s="86"/>
      <c r="C67" s="87"/>
    </row>
    <row r="68" spans="1:16" ht="42.75" customHeight="1" x14ac:dyDescent="0.25">
      <c r="A68" s="193" t="s">
        <v>44</v>
      </c>
      <c r="B68" s="193"/>
      <c r="C68" s="193"/>
      <c r="D68" s="193"/>
      <c r="E68" s="193"/>
      <c r="F68" s="193"/>
    </row>
    <row r="69" spans="1:16" ht="143.25" customHeight="1" x14ac:dyDescent="0.25">
      <c r="A69" s="193" t="s">
        <v>185</v>
      </c>
      <c r="B69" s="193"/>
      <c r="C69" s="193"/>
      <c r="D69" s="193"/>
      <c r="E69" s="193"/>
      <c r="F69" s="193"/>
    </row>
    <row r="70" spans="1:16" ht="15" customHeight="1" x14ac:dyDescent="0.25">
      <c r="A70" s="166"/>
      <c r="B70" s="166"/>
      <c r="C70" s="166"/>
      <c r="D70" s="166"/>
      <c r="E70" s="166"/>
      <c r="F70" s="166"/>
    </row>
    <row r="71" spans="1:16" ht="15" customHeight="1" x14ac:dyDescent="0.25">
      <c r="A71" s="9"/>
      <c r="B71" s="9"/>
      <c r="C71" s="9"/>
      <c r="D71" s="9"/>
      <c r="E71" s="9"/>
      <c r="F71" s="9"/>
    </row>
    <row r="72" spans="1:16" ht="14.4" x14ac:dyDescent="0.3">
      <c r="A72" s="191" t="s">
        <v>23</v>
      </c>
      <c r="B72" s="191"/>
    </row>
    <row r="73" spans="1:16" ht="13.8" x14ac:dyDescent="0.25"/>
  </sheetData>
  <mergeCells count="4">
    <mergeCell ref="E8:F8"/>
    <mergeCell ref="A5:F5"/>
    <mergeCell ref="A69:F69"/>
    <mergeCell ref="A68:F68"/>
  </mergeCells>
  <hyperlinks>
    <hyperlink ref="A72" location="Contents!A1" display="Back to Table of Contents" xr:uid="{12D888CE-F842-4A7A-8903-CE87A23D0C32}"/>
    <hyperlink ref="A2" r:id="rId1" xr:uid="{678A584F-FF48-AD4D-94B6-CC817F104D40}"/>
  </hyperlinks>
  <pageMargins left="0.5" right="0.5" top="0.5" bottom="0.5" header="0" footer="0"/>
  <pageSetup scale="92" orientation="landscape" r:id="rId2"/>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D0868-A131-42D3-B266-7E469290D383}">
  <sheetPr codeName="Sheet19">
    <pageSetUpPr fitToPage="1"/>
  </sheetPr>
  <dimension ref="A1:M48"/>
  <sheetViews>
    <sheetView zoomScaleNormal="100" workbookViewId="0"/>
  </sheetViews>
  <sheetFormatPr defaultColWidth="9.44140625" defaultRowHeight="15" customHeight="1" x14ac:dyDescent="0.25"/>
  <cols>
    <col min="1" max="1" width="11.33203125" style="16" customWidth="1"/>
    <col min="2" max="2" width="18.109375" style="16" customWidth="1"/>
    <col min="3" max="3" width="19.44140625" style="16" customWidth="1"/>
    <col min="4" max="4" width="8.44140625" style="16" customWidth="1"/>
    <col min="5" max="16384" width="9.44140625" style="16"/>
  </cols>
  <sheetData>
    <row r="1" spans="1:13" ht="15" customHeight="1" x14ac:dyDescent="0.3">
      <c r="A1" s="24" t="s">
        <v>215</v>
      </c>
      <c r="B1" s="10"/>
    </row>
    <row r="2" spans="1:13" ht="15" customHeight="1" x14ac:dyDescent="0.3">
      <c r="A2" s="186" t="s">
        <v>0</v>
      </c>
      <c r="B2" s="192"/>
    </row>
    <row r="5" spans="1:13" ht="45.75" customHeight="1" x14ac:dyDescent="0.25">
      <c r="A5" s="223" t="s">
        <v>157</v>
      </c>
      <c r="B5" s="223"/>
      <c r="C5" s="223"/>
    </row>
    <row r="6" spans="1:13" s="85" customFormat="1" ht="15" customHeight="1" x14ac:dyDescent="0.25">
      <c r="A6" s="84" t="s">
        <v>34</v>
      </c>
      <c r="B6" s="84"/>
      <c r="C6" s="84"/>
    </row>
    <row r="7" spans="1:13" s="85" customFormat="1" ht="15" customHeight="1" x14ac:dyDescent="0.25"/>
    <row r="8" spans="1:13" s="137" customFormat="1" ht="29.25" customHeight="1" x14ac:dyDescent="0.25">
      <c r="A8" s="165"/>
      <c r="B8" s="165" t="s">
        <v>112</v>
      </c>
      <c r="C8" s="165" t="s">
        <v>52</v>
      </c>
    </row>
    <row r="9" spans="1:13" ht="15" customHeight="1" x14ac:dyDescent="0.25">
      <c r="A9" s="19">
        <v>2025</v>
      </c>
      <c r="B9" s="93">
        <v>2.3029999999999999</v>
      </c>
      <c r="C9" s="93">
        <v>2.4380000000000002</v>
      </c>
      <c r="E9" s="5"/>
      <c r="F9" s="133"/>
      <c r="H9" s="133"/>
      <c r="K9" s="132"/>
      <c r="M9" s="132"/>
    </row>
    <row r="10" spans="1:13" ht="15" customHeight="1" x14ac:dyDescent="0.25">
      <c r="A10" s="19">
        <v>2026</v>
      </c>
      <c r="B10" s="93">
        <v>2.286</v>
      </c>
      <c r="C10" s="93">
        <v>2.2149999999999999</v>
      </c>
      <c r="E10" s="5"/>
      <c r="F10" s="133"/>
      <c r="H10" s="133"/>
      <c r="K10" s="132"/>
      <c r="M10" s="132"/>
    </row>
    <row r="11" spans="1:13" ht="15" customHeight="1" x14ac:dyDescent="0.25">
      <c r="A11" s="19">
        <v>2027</v>
      </c>
      <c r="B11" s="93">
        <v>2.2189999999999999</v>
      </c>
      <c r="C11" s="93">
        <v>2.149</v>
      </c>
      <c r="E11" s="5"/>
      <c r="F11" s="133"/>
      <c r="H11" s="133"/>
      <c r="K11" s="132"/>
      <c r="M11" s="132"/>
    </row>
    <row r="12" spans="1:13" ht="15" customHeight="1" x14ac:dyDescent="0.25">
      <c r="A12" s="19">
        <v>2028</v>
      </c>
      <c r="B12" s="93">
        <v>2.1560000000000001</v>
      </c>
      <c r="C12" s="93">
        <v>2.101</v>
      </c>
      <c r="E12" s="5"/>
      <c r="F12" s="133"/>
      <c r="H12" s="133"/>
      <c r="K12" s="132"/>
      <c r="M12" s="132"/>
    </row>
    <row r="13" spans="1:13" ht="15" customHeight="1" x14ac:dyDescent="0.25">
      <c r="A13" s="19">
        <v>2029</v>
      </c>
      <c r="B13" s="93">
        <v>2.097</v>
      </c>
      <c r="C13" s="93">
        <v>2.0390000000000001</v>
      </c>
      <c r="E13" s="5"/>
      <c r="F13" s="133"/>
      <c r="H13" s="133"/>
      <c r="K13" s="132"/>
      <c r="M13" s="132"/>
    </row>
    <row r="14" spans="1:13" ht="15" customHeight="1" x14ac:dyDescent="0.25">
      <c r="A14" s="19">
        <v>2030</v>
      </c>
      <c r="B14" s="93">
        <v>2.012</v>
      </c>
      <c r="C14" s="93">
        <v>2.02</v>
      </c>
      <c r="E14" s="5"/>
      <c r="F14" s="133"/>
      <c r="H14" s="133"/>
      <c r="K14" s="132"/>
      <c r="M14" s="132"/>
    </row>
    <row r="15" spans="1:13" ht="15" customHeight="1" x14ac:dyDescent="0.25">
      <c r="A15" s="19">
        <v>2031</v>
      </c>
      <c r="B15" s="93">
        <v>1.9390000000000001</v>
      </c>
      <c r="C15" s="93">
        <v>1.972</v>
      </c>
      <c r="E15" s="5"/>
      <c r="F15" s="133"/>
      <c r="H15" s="133"/>
      <c r="K15" s="132"/>
      <c r="M15" s="132"/>
    </row>
    <row r="16" spans="1:13" ht="15" customHeight="1" x14ac:dyDescent="0.25">
      <c r="A16" s="19">
        <v>2032</v>
      </c>
      <c r="B16" s="93">
        <v>1.883</v>
      </c>
      <c r="C16" s="93">
        <v>1.9019999999999999</v>
      </c>
      <c r="E16" s="5"/>
      <c r="F16" s="133"/>
      <c r="H16" s="133"/>
      <c r="K16" s="132"/>
      <c r="M16" s="132"/>
    </row>
    <row r="17" spans="1:13" ht="15" customHeight="1" x14ac:dyDescent="0.25">
      <c r="A17" s="19">
        <v>2033</v>
      </c>
      <c r="B17" s="93">
        <v>1.829</v>
      </c>
      <c r="C17" s="93">
        <v>1.8520000000000001</v>
      </c>
      <c r="E17" s="5"/>
      <c r="F17" s="133"/>
      <c r="H17" s="133"/>
      <c r="K17" s="132"/>
      <c r="M17" s="132"/>
    </row>
    <row r="18" spans="1:13" ht="15" customHeight="1" x14ac:dyDescent="0.25">
      <c r="A18" s="19">
        <v>2034</v>
      </c>
      <c r="B18" s="93">
        <v>1.7969999999999999</v>
      </c>
      <c r="C18" s="93">
        <v>1.8160000000000001</v>
      </c>
      <c r="E18" s="5"/>
      <c r="F18" s="133"/>
      <c r="H18" s="133"/>
      <c r="K18" s="132"/>
      <c r="M18" s="132"/>
    </row>
    <row r="19" spans="1:13" ht="15" customHeight="1" x14ac:dyDescent="0.25">
      <c r="A19" s="19">
        <v>2035</v>
      </c>
      <c r="B19" s="93">
        <v>1.76</v>
      </c>
      <c r="C19" s="93">
        <v>1.784</v>
      </c>
      <c r="E19" s="5"/>
      <c r="F19" s="133"/>
      <c r="H19" s="133"/>
      <c r="K19" s="132"/>
      <c r="M19" s="132"/>
    </row>
    <row r="20" spans="1:13" ht="15" customHeight="1" x14ac:dyDescent="0.25">
      <c r="A20" s="19">
        <v>2036</v>
      </c>
      <c r="B20" s="93">
        <v>1.724</v>
      </c>
      <c r="C20" s="93">
        <v>1.7669999999999999</v>
      </c>
      <c r="E20" s="5"/>
      <c r="F20" s="133"/>
      <c r="H20" s="133"/>
      <c r="K20" s="132"/>
      <c r="M20" s="132"/>
    </row>
    <row r="21" spans="1:13" ht="15" customHeight="1" x14ac:dyDescent="0.25">
      <c r="A21" s="19">
        <v>2037</v>
      </c>
      <c r="B21" s="93">
        <v>1.6890000000000001</v>
      </c>
      <c r="C21" s="93">
        <v>1.75</v>
      </c>
      <c r="E21" s="5"/>
      <c r="F21" s="133"/>
      <c r="H21" s="133"/>
      <c r="K21" s="132"/>
      <c r="M21" s="132"/>
    </row>
    <row r="22" spans="1:13" ht="15" customHeight="1" x14ac:dyDescent="0.25">
      <c r="A22" s="19">
        <v>2038</v>
      </c>
      <c r="B22" s="93">
        <v>1.66</v>
      </c>
      <c r="C22" s="93">
        <v>1.744</v>
      </c>
      <c r="E22" s="5"/>
      <c r="F22" s="133"/>
      <c r="H22" s="133"/>
      <c r="K22" s="132"/>
      <c r="M22" s="132"/>
    </row>
    <row r="23" spans="1:13" ht="15" customHeight="1" x14ac:dyDescent="0.25">
      <c r="A23" s="19">
        <v>2039</v>
      </c>
      <c r="B23" s="93">
        <v>1.6279999999999999</v>
      </c>
      <c r="C23" s="93">
        <v>1.73</v>
      </c>
      <c r="E23" s="5"/>
      <c r="F23" s="133"/>
      <c r="H23" s="133"/>
      <c r="K23" s="132"/>
      <c r="M23" s="132"/>
    </row>
    <row r="24" spans="1:13" ht="15" customHeight="1" x14ac:dyDescent="0.25">
      <c r="A24" s="19">
        <v>2040</v>
      </c>
      <c r="B24" s="93">
        <v>1.6020000000000001</v>
      </c>
      <c r="C24" s="93">
        <v>1.746</v>
      </c>
      <c r="E24" s="5"/>
      <c r="F24" s="133"/>
      <c r="H24" s="133"/>
      <c r="K24" s="132"/>
      <c r="M24" s="132"/>
    </row>
    <row r="25" spans="1:13" ht="15" customHeight="1" x14ac:dyDescent="0.25">
      <c r="A25" s="19">
        <v>2041</v>
      </c>
      <c r="B25" s="93">
        <v>1.569</v>
      </c>
      <c r="C25" s="93">
        <v>1.734</v>
      </c>
      <c r="E25" s="5"/>
      <c r="F25" s="133"/>
      <c r="H25" s="133"/>
      <c r="K25" s="132"/>
      <c r="M25" s="132"/>
    </row>
    <row r="26" spans="1:13" ht="15" customHeight="1" x14ac:dyDescent="0.25">
      <c r="A26" s="19">
        <v>2042</v>
      </c>
      <c r="B26" s="93">
        <v>1.54</v>
      </c>
      <c r="C26" s="93">
        <v>1.712</v>
      </c>
      <c r="E26" s="5"/>
      <c r="F26" s="133"/>
      <c r="H26" s="133"/>
      <c r="K26" s="132"/>
      <c r="M26" s="132"/>
    </row>
    <row r="27" spans="1:13" ht="15" customHeight="1" x14ac:dyDescent="0.25">
      <c r="A27" s="19">
        <v>2043</v>
      </c>
      <c r="B27" s="93">
        <v>1.5169999999999999</v>
      </c>
      <c r="C27" s="93">
        <v>1.704</v>
      </c>
      <c r="E27" s="5"/>
      <c r="F27" s="133"/>
      <c r="H27" s="133"/>
      <c r="K27" s="132"/>
      <c r="M27" s="132"/>
    </row>
    <row r="28" spans="1:13" ht="15" customHeight="1" x14ac:dyDescent="0.25">
      <c r="A28" s="19">
        <v>2044</v>
      </c>
      <c r="B28" s="93">
        <v>1.498</v>
      </c>
      <c r="C28" s="93">
        <v>1.6910000000000001</v>
      </c>
      <c r="E28" s="5"/>
      <c r="F28" s="133"/>
      <c r="H28" s="133"/>
      <c r="K28" s="132"/>
      <c r="M28" s="132"/>
    </row>
    <row r="29" spans="1:13" ht="15" customHeight="1" x14ac:dyDescent="0.25">
      <c r="A29" s="19">
        <v>2045</v>
      </c>
      <c r="B29" s="93">
        <v>1.48</v>
      </c>
      <c r="C29" s="93">
        <v>1.6459999999999999</v>
      </c>
      <c r="E29" s="5"/>
      <c r="F29" s="133"/>
      <c r="H29" s="133"/>
      <c r="K29" s="132"/>
      <c r="M29" s="132"/>
    </row>
    <row r="30" spans="1:13" ht="15" customHeight="1" x14ac:dyDescent="0.25">
      <c r="A30" s="19">
        <v>2046</v>
      </c>
      <c r="B30" s="93">
        <v>1.4630000000000001</v>
      </c>
      <c r="C30" s="93">
        <v>1.61</v>
      </c>
      <c r="E30" s="5"/>
      <c r="F30" s="133"/>
      <c r="H30" s="133"/>
      <c r="K30" s="132"/>
      <c r="M30" s="132"/>
    </row>
    <row r="31" spans="1:13" ht="15" customHeight="1" x14ac:dyDescent="0.25">
      <c r="A31" s="19">
        <v>2047</v>
      </c>
      <c r="B31" s="93">
        <v>1.446</v>
      </c>
      <c r="C31" s="93">
        <v>1.591</v>
      </c>
      <c r="E31" s="5"/>
      <c r="F31" s="133"/>
      <c r="H31" s="133"/>
      <c r="K31" s="132"/>
      <c r="M31" s="132"/>
    </row>
    <row r="32" spans="1:13" ht="15" customHeight="1" x14ac:dyDescent="0.25">
      <c r="A32" s="19">
        <v>2048</v>
      </c>
      <c r="B32" s="93">
        <v>1.429</v>
      </c>
      <c r="C32" s="93">
        <v>1.5740000000000001</v>
      </c>
      <c r="E32" s="5"/>
      <c r="F32" s="133"/>
      <c r="H32" s="133"/>
      <c r="K32" s="132"/>
      <c r="M32" s="132"/>
    </row>
    <row r="33" spans="1:13" ht="15" customHeight="1" x14ac:dyDescent="0.25">
      <c r="A33" s="19">
        <v>2049</v>
      </c>
      <c r="B33" s="93">
        <v>1.4139999999999999</v>
      </c>
      <c r="C33" s="93">
        <v>1.556</v>
      </c>
      <c r="E33" s="5"/>
      <c r="F33" s="133"/>
      <c r="H33" s="133"/>
      <c r="K33" s="132"/>
      <c r="M33" s="132"/>
    </row>
    <row r="34" spans="1:13" ht="15" customHeight="1" x14ac:dyDescent="0.25">
      <c r="A34" s="19">
        <v>2050</v>
      </c>
      <c r="B34" s="93">
        <v>1.3919999999999999</v>
      </c>
      <c r="C34" s="93">
        <v>1.532</v>
      </c>
      <c r="E34" s="5"/>
      <c r="F34" s="133"/>
      <c r="H34" s="133"/>
      <c r="K34" s="132"/>
      <c r="M34" s="132"/>
    </row>
    <row r="35" spans="1:13" ht="15" customHeight="1" x14ac:dyDescent="0.25">
      <c r="A35" s="19">
        <v>2051</v>
      </c>
      <c r="B35" s="93">
        <v>1.379</v>
      </c>
      <c r="C35" s="93">
        <v>1.514</v>
      </c>
      <c r="E35" s="5"/>
      <c r="F35" s="133"/>
      <c r="H35" s="133"/>
      <c r="K35" s="132"/>
      <c r="M35" s="132"/>
    </row>
    <row r="36" spans="1:13" ht="13.8" x14ac:dyDescent="0.25">
      <c r="A36" s="19">
        <v>2052</v>
      </c>
      <c r="B36" s="93">
        <v>1.371</v>
      </c>
      <c r="C36" s="93">
        <v>1.5</v>
      </c>
      <c r="E36" s="5"/>
      <c r="F36" s="133"/>
      <c r="H36" s="133"/>
      <c r="K36" s="132"/>
      <c r="M36" s="132"/>
    </row>
    <row r="37" spans="1:13" ht="13.8" x14ac:dyDescent="0.25">
      <c r="A37" s="19">
        <v>2053</v>
      </c>
      <c r="B37" s="93">
        <v>1.3640000000000001</v>
      </c>
      <c r="C37" s="93">
        <v>1.492</v>
      </c>
      <c r="E37" s="5"/>
      <c r="F37" s="133"/>
      <c r="H37" s="133"/>
      <c r="K37" s="132"/>
      <c r="M37" s="132"/>
    </row>
    <row r="38" spans="1:13" ht="13.8" x14ac:dyDescent="0.25">
      <c r="A38" s="19">
        <v>2054</v>
      </c>
      <c r="B38" s="93">
        <v>1.359</v>
      </c>
      <c r="C38" s="93">
        <v>1.4850000000000001</v>
      </c>
      <c r="E38" s="5"/>
      <c r="F38" s="133"/>
      <c r="H38" s="133"/>
      <c r="K38" s="132"/>
      <c r="M38" s="132"/>
    </row>
    <row r="39" spans="1:13" ht="13.8" x14ac:dyDescent="0.25">
      <c r="A39" s="19">
        <v>2055</v>
      </c>
      <c r="B39" s="93">
        <v>1.3560000000000001</v>
      </c>
      <c r="C39" s="93">
        <v>1.4830000000000001</v>
      </c>
      <c r="E39" s="5"/>
      <c r="F39" s="133"/>
      <c r="H39" s="133"/>
      <c r="K39" s="132"/>
      <c r="M39" s="132"/>
    </row>
    <row r="40" spans="1:13" ht="13.8" x14ac:dyDescent="0.25">
      <c r="D40" s="85"/>
      <c r="E40" s="5"/>
      <c r="F40" s="133"/>
      <c r="H40" s="133"/>
      <c r="K40" s="132"/>
      <c r="M40" s="132"/>
    </row>
    <row r="41" spans="1:13" ht="13.8" x14ac:dyDescent="0.25">
      <c r="A41" s="86"/>
      <c r="B41" s="86"/>
      <c r="C41" s="87"/>
    </row>
    <row r="42" spans="1:13" ht="13.8" x14ac:dyDescent="0.25">
      <c r="A42" s="197" t="s">
        <v>26</v>
      </c>
      <c r="B42" s="197"/>
      <c r="C42" s="197"/>
    </row>
    <row r="43" spans="1:13" ht="39.75" customHeight="1" x14ac:dyDescent="0.25">
      <c r="A43" s="193" t="s">
        <v>45</v>
      </c>
      <c r="B43" s="193"/>
      <c r="C43" s="193"/>
    </row>
    <row r="44" spans="1:13" ht="173.25" customHeight="1" x14ac:dyDescent="0.25">
      <c r="A44" s="193" t="s">
        <v>101</v>
      </c>
      <c r="B44" s="193"/>
      <c r="C44" s="193"/>
    </row>
    <row r="45" spans="1:13" ht="15" customHeight="1" x14ac:dyDescent="0.25">
      <c r="A45" s="166"/>
      <c r="B45" s="166"/>
      <c r="C45" s="166"/>
    </row>
    <row r="46" spans="1:13" ht="15" customHeight="1" x14ac:dyDescent="0.25">
      <c r="A46" s="9"/>
      <c r="B46" s="9"/>
      <c r="C46" s="9"/>
    </row>
    <row r="47" spans="1:13" ht="14.4" x14ac:dyDescent="0.3">
      <c r="A47" s="191" t="s">
        <v>23</v>
      </c>
      <c r="B47" s="191"/>
    </row>
    <row r="48" spans="1:13" ht="13.8" x14ac:dyDescent="0.25"/>
  </sheetData>
  <mergeCells count="4">
    <mergeCell ref="A5:C5"/>
    <mergeCell ref="A42:C42"/>
    <mergeCell ref="A43:C43"/>
    <mergeCell ref="A44:C44"/>
  </mergeCells>
  <hyperlinks>
    <hyperlink ref="A47" location="Contents!A1" display="Back to Table of Contents" xr:uid="{0D30ED2E-D705-4F29-8D39-C53702B604E0}"/>
    <hyperlink ref="A2" r:id="rId1" xr:uid="{CD92DB00-C185-9241-B7E6-4D822E47C53C}"/>
  </hyperlinks>
  <pageMargins left="0.5" right="0.5" top="0.5" bottom="0.5" header="0" footer="0"/>
  <pageSetup scale="92" orientation="landscape" r:id="rId2"/>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7837E-5F2A-4B67-8899-83C54EC459CB}">
  <sheetPr codeName="Sheet20"/>
  <dimension ref="A1:J75"/>
  <sheetViews>
    <sheetView zoomScaleNormal="100" workbookViewId="0"/>
  </sheetViews>
  <sheetFormatPr defaultColWidth="8.77734375" defaultRowHeight="13.8" x14ac:dyDescent="0.25"/>
  <cols>
    <col min="1" max="1" width="12.44140625" style="16" customWidth="1"/>
    <col min="2" max="3" width="19.44140625" style="16" customWidth="1"/>
    <col min="4" max="16384" width="8.77734375" style="16"/>
  </cols>
  <sheetData>
    <row r="1" spans="1:10" ht="14.4" x14ac:dyDescent="0.3">
      <c r="A1" s="24" t="s">
        <v>215</v>
      </c>
    </row>
    <row r="2" spans="1:10" x14ac:dyDescent="0.25">
      <c r="A2" s="186" t="s">
        <v>0</v>
      </c>
    </row>
    <row r="4" spans="1:10" x14ac:dyDescent="0.25">
      <c r="B4" s="162"/>
      <c r="C4" s="162"/>
    </row>
    <row r="5" spans="1:10" ht="45" customHeight="1" x14ac:dyDescent="0.25">
      <c r="A5" s="194" t="s">
        <v>158</v>
      </c>
      <c r="B5" s="194"/>
      <c r="C5" s="194"/>
    </row>
    <row r="6" spans="1:10" x14ac:dyDescent="0.25">
      <c r="A6" s="21" t="s">
        <v>34</v>
      </c>
      <c r="B6" s="21"/>
      <c r="C6" s="21"/>
    </row>
    <row r="7" spans="1:10" x14ac:dyDescent="0.25">
      <c r="A7" s="19"/>
    </row>
    <row r="8" spans="1:10" ht="15" customHeight="1" x14ac:dyDescent="0.25">
      <c r="A8" s="32"/>
      <c r="B8" s="220" t="s">
        <v>102</v>
      </c>
      <c r="C8" s="220"/>
    </row>
    <row r="9" spans="1:10" x14ac:dyDescent="0.25">
      <c r="A9" s="59"/>
      <c r="B9" s="70" t="s">
        <v>51</v>
      </c>
      <c r="C9" s="70" t="s">
        <v>52</v>
      </c>
      <c r="D9" s="9"/>
      <c r="E9" s="33"/>
      <c r="F9" s="9"/>
      <c r="G9" s="9"/>
      <c r="H9" s="9"/>
      <c r="I9" s="9"/>
      <c r="J9" s="9"/>
    </row>
    <row r="10" spans="1:10" x14ac:dyDescent="0.25">
      <c r="A10" s="19">
        <v>1996</v>
      </c>
      <c r="B10" s="93">
        <v>6.4379999999999997</v>
      </c>
      <c r="C10" s="134">
        <v>6.4379999999999997</v>
      </c>
    </row>
    <row r="11" spans="1:10" x14ac:dyDescent="0.25">
      <c r="A11" s="19">
        <v>1997</v>
      </c>
      <c r="B11" s="93">
        <v>6.3529999999999998</v>
      </c>
      <c r="C11" s="134">
        <v>6.3529999999999998</v>
      </c>
    </row>
    <row r="12" spans="1:10" x14ac:dyDescent="0.25">
      <c r="A12" s="19">
        <v>1998</v>
      </c>
      <c r="B12" s="93">
        <v>5.2640000000000002</v>
      </c>
      <c r="C12" s="134">
        <v>5.2640000000000002</v>
      </c>
    </row>
    <row r="13" spans="1:10" x14ac:dyDescent="0.25">
      <c r="A13" s="19">
        <v>1999</v>
      </c>
      <c r="B13" s="93">
        <v>5.6369999999999996</v>
      </c>
      <c r="C13" s="134">
        <v>5.6369999999999996</v>
      </c>
    </row>
    <row r="14" spans="1:10" x14ac:dyDescent="0.25">
      <c r="A14" s="19">
        <v>2000</v>
      </c>
      <c r="B14" s="93">
        <v>6.0289999999999999</v>
      </c>
      <c r="C14" s="43">
        <v>6.0289999999999999</v>
      </c>
    </row>
    <row r="15" spans="1:10" x14ac:dyDescent="0.25">
      <c r="A15" s="19">
        <v>2001</v>
      </c>
      <c r="B15" s="93">
        <v>5.0179999999999998</v>
      </c>
      <c r="C15" s="43">
        <v>5.0179999999999998</v>
      </c>
    </row>
    <row r="16" spans="1:10" x14ac:dyDescent="0.25">
      <c r="A16" s="19">
        <v>2002</v>
      </c>
      <c r="B16" s="93">
        <v>4.6109999999999998</v>
      </c>
      <c r="C16" s="43">
        <v>4.6109999999999998</v>
      </c>
    </row>
    <row r="17" spans="1:3" x14ac:dyDescent="0.25">
      <c r="A17" s="19">
        <v>2003</v>
      </c>
      <c r="B17" s="93">
        <v>4.0149999999999997</v>
      </c>
      <c r="C17" s="43">
        <v>4.0149999999999997</v>
      </c>
    </row>
    <row r="18" spans="1:3" x14ac:dyDescent="0.25">
      <c r="A18" s="19">
        <v>2004</v>
      </c>
      <c r="B18" s="93">
        <v>4.274</v>
      </c>
      <c r="C18" s="43">
        <v>4.274</v>
      </c>
    </row>
    <row r="19" spans="1:3" x14ac:dyDescent="0.25">
      <c r="A19" s="19">
        <v>2005</v>
      </c>
      <c r="B19" s="93">
        <v>4.29</v>
      </c>
      <c r="C19" s="43">
        <v>4.29</v>
      </c>
    </row>
    <row r="20" spans="1:3" x14ac:dyDescent="0.25">
      <c r="A20" s="19">
        <v>2006</v>
      </c>
      <c r="B20" s="93">
        <v>4.7919999999999998</v>
      </c>
      <c r="C20" s="43">
        <v>4.7919999999999998</v>
      </c>
    </row>
    <row r="21" spans="1:3" x14ac:dyDescent="0.25">
      <c r="A21" s="19">
        <v>2007</v>
      </c>
      <c r="B21" s="93">
        <v>4.6289999999999996</v>
      </c>
      <c r="C21" s="43">
        <v>4.6289999999999996</v>
      </c>
    </row>
    <row r="22" spans="1:3" x14ac:dyDescent="0.25">
      <c r="A22" s="19">
        <v>2008</v>
      </c>
      <c r="B22" s="93">
        <v>3.6669999999999998</v>
      </c>
      <c r="C22" s="43">
        <v>3.6669999999999998</v>
      </c>
    </row>
    <row r="23" spans="1:3" x14ac:dyDescent="0.25">
      <c r="A23" s="19">
        <v>2009</v>
      </c>
      <c r="B23" s="93">
        <v>3.2570000000000001</v>
      </c>
      <c r="C23" s="43">
        <v>3.2570000000000001</v>
      </c>
    </row>
    <row r="24" spans="1:3" x14ac:dyDescent="0.25">
      <c r="A24" s="19">
        <v>2010</v>
      </c>
      <c r="B24" s="93">
        <v>3.214</v>
      </c>
      <c r="C24" s="43">
        <v>3.214</v>
      </c>
    </row>
    <row r="25" spans="1:3" x14ac:dyDescent="0.25">
      <c r="A25" s="19">
        <v>2011</v>
      </c>
      <c r="B25" s="93">
        <v>2.786</v>
      </c>
      <c r="C25" s="43">
        <v>2.786</v>
      </c>
    </row>
    <row r="26" spans="1:3" x14ac:dyDescent="0.25">
      <c r="A26" s="19">
        <v>2012</v>
      </c>
      <c r="B26" s="93">
        <v>1.8029999999999999</v>
      </c>
      <c r="C26" s="43">
        <v>1.8029999999999999</v>
      </c>
    </row>
    <row r="27" spans="1:3" x14ac:dyDescent="0.25">
      <c r="A27" s="19">
        <v>2013</v>
      </c>
      <c r="B27" s="93">
        <v>2.351</v>
      </c>
      <c r="C27" s="43">
        <v>2.351</v>
      </c>
    </row>
    <row r="28" spans="1:3" x14ac:dyDescent="0.25">
      <c r="A28" s="19">
        <v>2014</v>
      </c>
      <c r="B28" s="93">
        <v>2.5409999999999999</v>
      </c>
      <c r="C28" s="43">
        <v>2.5409999999999999</v>
      </c>
    </row>
    <row r="29" spans="1:3" x14ac:dyDescent="0.25">
      <c r="A29" s="19">
        <v>2015</v>
      </c>
      <c r="B29" s="93">
        <v>2.1360000000000001</v>
      </c>
      <c r="C29" s="43">
        <v>2.1360000000000001</v>
      </c>
    </row>
    <row r="30" spans="1:3" x14ac:dyDescent="0.25">
      <c r="A30" s="19">
        <v>2016</v>
      </c>
      <c r="B30" s="93">
        <v>1.8420000000000001</v>
      </c>
      <c r="C30" s="43">
        <v>1.8420000000000001</v>
      </c>
    </row>
    <row r="31" spans="1:3" x14ac:dyDescent="0.25">
      <c r="A31" s="19">
        <v>2017</v>
      </c>
      <c r="B31" s="93">
        <v>2.33</v>
      </c>
      <c r="C31" s="43">
        <v>2.33</v>
      </c>
    </row>
    <row r="32" spans="1:3" x14ac:dyDescent="0.25">
      <c r="A32" s="19">
        <v>2018</v>
      </c>
      <c r="B32" s="93">
        <v>2.91</v>
      </c>
      <c r="C32" s="43">
        <v>2.91</v>
      </c>
    </row>
    <row r="33" spans="1:4" x14ac:dyDescent="0.25">
      <c r="A33" s="19">
        <v>2019</v>
      </c>
      <c r="B33" s="93">
        <v>2.1440000000000001</v>
      </c>
      <c r="C33" s="43">
        <v>2.1440000000000001</v>
      </c>
    </row>
    <row r="34" spans="1:4" x14ac:dyDescent="0.25">
      <c r="A34" s="19">
        <v>2020</v>
      </c>
      <c r="B34" s="93">
        <v>0.89400000000000002</v>
      </c>
      <c r="C34" s="43">
        <v>0.89400000000000002</v>
      </c>
    </row>
    <row r="35" spans="1:4" x14ac:dyDescent="0.25">
      <c r="A35" s="19">
        <v>2021</v>
      </c>
      <c r="B35" s="93">
        <v>1.4430000000000001</v>
      </c>
      <c r="C35" s="43">
        <v>1.4430000000000001</v>
      </c>
    </row>
    <row r="36" spans="1:4" x14ac:dyDescent="0.25">
      <c r="A36" s="19">
        <v>2022</v>
      </c>
      <c r="B36" s="93">
        <v>2.952</v>
      </c>
      <c r="C36" s="43">
        <v>2.952</v>
      </c>
    </row>
    <row r="37" spans="1:4" x14ac:dyDescent="0.25">
      <c r="A37" s="19">
        <v>2023</v>
      </c>
      <c r="B37" s="93">
        <v>3.9580000000000002</v>
      </c>
      <c r="C37" s="43">
        <v>3.9580000000000002</v>
      </c>
    </row>
    <row r="38" spans="1:4" x14ac:dyDescent="0.25">
      <c r="A38" s="155">
        <v>2024</v>
      </c>
      <c r="B38" s="149">
        <v>4.1879999999999997</v>
      </c>
      <c r="C38" s="150">
        <v>4.2080000000000002</v>
      </c>
      <c r="D38" s="18"/>
    </row>
    <row r="39" spans="1:4" x14ac:dyDescent="0.25">
      <c r="A39" s="19">
        <v>2025</v>
      </c>
      <c r="B39" s="93">
        <v>4.0940000000000003</v>
      </c>
      <c r="C39" s="43">
        <v>4.2880000000000003</v>
      </c>
      <c r="D39" s="16" t="s">
        <v>61</v>
      </c>
    </row>
    <row r="40" spans="1:4" x14ac:dyDescent="0.25">
      <c r="A40" s="19">
        <v>2026</v>
      </c>
      <c r="B40" s="93">
        <v>3.9359999999999999</v>
      </c>
      <c r="C40" s="43">
        <v>4.1269999999999998</v>
      </c>
    </row>
    <row r="41" spans="1:4" x14ac:dyDescent="0.25">
      <c r="A41" s="19">
        <v>2027</v>
      </c>
      <c r="B41" s="93">
        <v>3.915</v>
      </c>
      <c r="C41" s="43">
        <v>4.2549999999999999</v>
      </c>
    </row>
    <row r="42" spans="1:4" x14ac:dyDescent="0.25">
      <c r="A42" s="19">
        <v>2028</v>
      </c>
      <c r="B42" s="93">
        <v>3.895</v>
      </c>
      <c r="C42" s="43">
        <v>4.3040000000000003</v>
      </c>
    </row>
    <row r="43" spans="1:4" x14ac:dyDescent="0.25">
      <c r="A43" s="19">
        <v>2029</v>
      </c>
      <c r="B43" s="93">
        <v>3.8719999999999999</v>
      </c>
      <c r="C43" s="43">
        <v>4.3289999999999997</v>
      </c>
    </row>
    <row r="44" spans="1:4" x14ac:dyDescent="0.25">
      <c r="A44" s="19">
        <v>2030</v>
      </c>
      <c r="B44" s="93">
        <v>3.851</v>
      </c>
      <c r="C44" s="43">
        <v>4.343</v>
      </c>
    </row>
    <row r="45" spans="1:4" x14ac:dyDescent="0.25">
      <c r="A45" s="19">
        <v>2031</v>
      </c>
      <c r="B45" s="93">
        <v>3.8370000000000002</v>
      </c>
      <c r="C45" s="43">
        <v>4.3520000000000003</v>
      </c>
    </row>
    <row r="46" spans="1:4" x14ac:dyDescent="0.25">
      <c r="A46" s="19">
        <v>2032</v>
      </c>
      <c r="B46" s="93">
        <v>3.827</v>
      </c>
      <c r="C46" s="43">
        <v>4.3600000000000003</v>
      </c>
    </row>
    <row r="47" spans="1:4" x14ac:dyDescent="0.25">
      <c r="A47" s="19">
        <v>2033</v>
      </c>
      <c r="B47" s="93">
        <v>3.8149999999999999</v>
      </c>
      <c r="C47" s="43">
        <v>4.367</v>
      </c>
    </row>
    <row r="48" spans="1:4" x14ac:dyDescent="0.25">
      <c r="A48" s="19">
        <v>2034</v>
      </c>
      <c r="B48" s="93">
        <v>3.7970000000000002</v>
      </c>
      <c r="C48" s="43">
        <v>4.375</v>
      </c>
    </row>
    <row r="49" spans="1:3" x14ac:dyDescent="0.25">
      <c r="A49" s="19">
        <v>2035</v>
      </c>
      <c r="B49" s="93">
        <v>3.7719999999999998</v>
      </c>
      <c r="C49" s="43">
        <v>4.3819999999999997</v>
      </c>
    </row>
    <row r="50" spans="1:3" x14ac:dyDescent="0.25">
      <c r="A50" s="19">
        <v>2036</v>
      </c>
      <c r="B50" s="93">
        <v>3.7480000000000002</v>
      </c>
      <c r="C50" s="43">
        <v>4.3879999999999999</v>
      </c>
    </row>
    <row r="51" spans="1:3" x14ac:dyDescent="0.25">
      <c r="A51" s="19">
        <v>2037</v>
      </c>
      <c r="B51" s="93">
        <v>3.73</v>
      </c>
      <c r="C51" s="43">
        <v>4.3940000000000001</v>
      </c>
    </row>
    <row r="52" spans="1:3" x14ac:dyDescent="0.25">
      <c r="A52" s="19">
        <v>2038</v>
      </c>
      <c r="B52" s="93">
        <v>3.72</v>
      </c>
      <c r="C52" s="43">
        <v>4.399</v>
      </c>
    </row>
    <row r="53" spans="1:3" x14ac:dyDescent="0.25">
      <c r="A53" s="19">
        <v>2039</v>
      </c>
      <c r="B53" s="93">
        <v>3.7149999999999999</v>
      </c>
      <c r="C53" s="43">
        <v>4.4020000000000001</v>
      </c>
    </row>
    <row r="54" spans="1:3" x14ac:dyDescent="0.25">
      <c r="A54" s="19">
        <v>2040</v>
      </c>
      <c r="B54" s="93">
        <v>3.7149999999999999</v>
      </c>
      <c r="C54" s="43">
        <v>4.4039999999999999</v>
      </c>
    </row>
    <row r="55" spans="1:3" x14ac:dyDescent="0.25">
      <c r="A55" s="19">
        <v>2041</v>
      </c>
      <c r="B55" s="93">
        <v>3.7189999999999999</v>
      </c>
      <c r="C55" s="43">
        <v>4.4039999999999999</v>
      </c>
    </row>
    <row r="56" spans="1:3" x14ac:dyDescent="0.25">
      <c r="A56" s="19">
        <v>2042</v>
      </c>
      <c r="B56" s="93">
        <v>3.7240000000000002</v>
      </c>
      <c r="C56" s="43">
        <v>4.4029999999999996</v>
      </c>
    </row>
    <row r="57" spans="1:3" x14ac:dyDescent="0.25">
      <c r="A57" s="19">
        <v>2043</v>
      </c>
      <c r="B57" s="129">
        <v>3.7309999999999999</v>
      </c>
      <c r="C57" s="43">
        <v>4.4000000000000004</v>
      </c>
    </row>
    <row r="58" spans="1:3" x14ac:dyDescent="0.25">
      <c r="A58" s="19">
        <v>2044</v>
      </c>
      <c r="B58" s="129">
        <v>3.7370000000000001</v>
      </c>
      <c r="C58" s="43">
        <v>4.3970000000000002</v>
      </c>
    </row>
    <row r="59" spans="1:3" x14ac:dyDescent="0.25">
      <c r="A59" s="19">
        <v>2045</v>
      </c>
      <c r="B59" s="129">
        <v>3.7440000000000002</v>
      </c>
      <c r="C59" s="43">
        <v>4.3940000000000001</v>
      </c>
    </row>
    <row r="60" spans="1:3" x14ac:dyDescent="0.25">
      <c r="A60" s="19">
        <v>2046</v>
      </c>
      <c r="B60" s="43">
        <v>3.7490000000000001</v>
      </c>
      <c r="C60" s="43">
        <v>4.3899999999999997</v>
      </c>
    </row>
    <row r="61" spans="1:3" x14ac:dyDescent="0.25">
      <c r="A61" s="19">
        <v>2047</v>
      </c>
      <c r="B61" s="43">
        <v>3.754</v>
      </c>
      <c r="C61" s="43">
        <v>4.3879999999999999</v>
      </c>
    </row>
    <row r="62" spans="1:3" x14ac:dyDescent="0.25">
      <c r="A62" s="19">
        <v>2048</v>
      </c>
      <c r="B62" s="43">
        <v>3.758</v>
      </c>
      <c r="C62" s="43">
        <v>4.3860000000000001</v>
      </c>
    </row>
    <row r="63" spans="1:3" x14ac:dyDescent="0.25">
      <c r="A63" s="19">
        <v>2049</v>
      </c>
      <c r="B63" s="43">
        <v>3.7610000000000001</v>
      </c>
      <c r="C63" s="43">
        <v>4.3860000000000001</v>
      </c>
    </row>
    <row r="64" spans="1:3" x14ac:dyDescent="0.25">
      <c r="A64" s="19">
        <v>2050</v>
      </c>
      <c r="B64" s="43">
        <v>3.7639999999999998</v>
      </c>
      <c r="C64" s="43">
        <v>4.3890000000000002</v>
      </c>
    </row>
    <row r="65" spans="1:3" x14ac:dyDescent="0.25">
      <c r="A65" s="19">
        <v>2051</v>
      </c>
      <c r="B65" s="43">
        <v>3.7679999999999998</v>
      </c>
      <c r="C65" s="43">
        <v>4.3920000000000003</v>
      </c>
    </row>
    <row r="66" spans="1:3" x14ac:dyDescent="0.25">
      <c r="A66" s="19">
        <v>2052</v>
      </c>
      <c r="B66" s="43">
        <v>3.7719999999999998</v>
      </c>
      <c r="C66" s="43">
        <v>4.3979999999999997</v>
      </c>
    </row>
    <row r="67" spans="1:3" x14ac:dyDescent="0.25">
      <c r="A67" s="19">
        <v>2053</v>
      </c>
      <c r="B67" s="43">
        <v>3.7759999999999998</v>
      </c>
      <c r="C67" s="43">
        <v>4.4059999999999997</v>
      </c>
    </row>
    <row r="68" spans="1:3" x14ac:dyDescent="0.25">
      <c r="A68" s="19">
        <v>2054</v>
      </c>
      <c r="B68" s="43">
        <v>3.7810000000000001</v>
      </c>
      <c r="C68" s="43">
        <v>4.4139999999999997</v>
      </c>
    </row>
    <row r="69" spans="1:3" x14ac:dyDescent="0.25">
      <c r="A69" s="19">
        <v>2055</v>
      </c>
      <c r="B69" s="43">
        <v>3.7850000000000001</v>
      </c>
      <c r="C69" s="43">
        <v>4.423</v>
      </c>
    </row>
    <row r="70" spans="1:3" x14ac:dyDescent="0.25">
      <c r="A70" s="160"/>
      <c r="B70" s="7"/>
      <c r="C70" s="7"/>
    </row>
    <row r="71" spans="1:3" x14ac:dyDescent="0.25">
      <c r="A71" s="19"/>
      <c r="B71" s="66"/>
      <c r="C71" s="15"/>
    </row>
    <row r="72" spans="1:3" x14ac:dyDescent="0.25">
      <c r="A72" s="201" t="s">
        <v>26</v>
      </c>
      <c r="B72" s="201"/>
      <c r="C72" s="201"/>
    </row>
    <row r="73" spans="1:3" x14ac:dyDescent="0.25">
      <c r="A73" s="160"/>
      <c r="B73" s="160"/>
      <c r="C73" s="160"/>
    </row>
    <row r="74" spans="1:3" x14ac:dyDescent="0.25">
      <c r="A74" s="19"/>
      <c r="B74" s="19"/>
      <c r="C74" s="19"/>
    </row>
    <row r="75" spans="1:3" x14ac:dyDescent="0.25">
      <c r="A75" s="186" t="s">
        <v>23</v>
      </c>
      <c r="B75" s="20"/>
      <c r="C75" s="15"/>
    </row>
  </sheetData>
  <mergeCells count="3">
    <mergeCell ref="A5:C5"/>
    <mergeCell ref="B8:C8"/>
    <mergeCell ref="A72:C72"/>
  </mergeCells>
  <hyperlinks>
    <hyperlink ref="A75" location="Contents!A1" display="Back to Table of Contents" xr:uid="{EACE0CE2-3FFB-4E7F-A936-E9654772BAB1}"/>
    <hyperlink ref="A2" r:id="rId1" xr:uid="{212B94C3-4158-434E-A4C9-25F3F1CA9E7B}"/>
  </hyperlinks>
  <pageMargins left="0.7" right="0.7" top="0.75" bottom="0.75" header="0.3" footer="0.3"/>
  <pageSetup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30980-88B7-7547-B4F8-5D9E945EFC84}">
  <sheetPr codeName="Sheet5"/>
  <dimension ref="A1:N76"/>
  <sheetViews>
    <sheetView zoomScaleNormal="100" workbookViewId="0"/>
  </sheetViews>
  <sheetFormatPr defaultColWidth="9.109375" defaultRowHeight="13.8" x14ac:dyDescent="0.25"/>
  <cols>
    <col min="1" max="1" width="41" style="16" customWidth="1"/>
    <col min="2" max="5" width="14.44140625" style="20" customWidth="1"/>
    <col min="6" max="16384" width="9.109375" style="16"/>
  </cols>
  <sheetData>
    <row r="1" spans="1:6" ht="14.4" x14ac:dyDescent="0.3">
      <c r="A1" s="24" t="s">
        <v>215</v>
      </c>
    </row>
    <row r="2" spans="1:6" x14ac:dyDescent="0.25">
      <c r="A2" s="186" t="s">
        <v>0</v>
      </c>
    </row>
    <row r="5" spans="1:6" ht="45" customHeight="1" x14ac:dyDescent="0.25">
      <c r="A5" s="194" t="s">
        <v>159</v>
      </c>
      <c r="B5" s="194"/>
      <c r="C5" s="194"/>
      <c r="D5" s="194"/>
      <c r="E5" s="194"/>
      <c r="F5" s="159"/>
    </row>
    <row r="6" spans="1:6" x14ac:dyDescent="0.25">
      <c r="A6" s="21" t="s">
        <v>49</v>
      </c>
      <c r="B6" s="163"/>
      <c r="C6" s="163"/>
      <c r="D6" s="163"/>
      <c r="E6" s="163"/>
    </row>
    <row r="8" spans="1:6" x14ac:dyDescent="0.25">
      <c r="A8" s="18"/>
      <c r="B8" s="98">
        <v>2026</v>
      </c>
      <c r="C8" s="98">
        <v>2037</v>
      </c>
      <c r="D8" s="98">
        <v>2047</v>
      </c>
      <c r="E8" s="98">
        <v>2055</v>
      </c>
    </row>
    <row r="9" spans="1:6" x14ac:dyDescent="0.25">
      <c r="A9" s="19" t="s">
        <v>50</v>
      </c>
      <c r="B9" s="43"/>
      <c r="C9" s="43"/>
      <c r="D9" s="43"/>
      <c r="E9" s="43"/>
    </row>
    <row r="10" spans="1:6" x14ac:dyDescent="0.25">
      <c r="A10" s="48" t="s">
        <v>4</v>
      </c>
      <c r="B10" s="35"/>
      <c r="C10" s="35"/>
      <c r="D10" s="35"/>
      <c r="E10" s="35"/>
    </row>
    <row r="11" spans="1:6" x14ac:dyDescent="0.25">
      <c r="A11" s="53" t="s">
        <v>51</v>
      </c>
      <c r="B11" s="147">
        <v>9.4710000000000001</v>
      </c>
      <c r="C11" s="35">
        <v>10.172000000000001</v>
      </c>
      <c r="D11" s="35">
        <v>10.619</v>
      </c>
      <c r="E11" s="35">
        <v>10.929</v>
      </c>
      <c r="F11" s="35"/>
    </row>
    <row r="12" spans="1:6" x14ac:dyDescent="0.25">
      <c r="A12" s="53" t="s">
        <v>52</v>
      </c>
      <c r="B12" s="35">
        <v>8.6240000000000006</v>
      </c>
      <c r="C12" s="35">
        <v>9.1539999999999999</v>
      </c>
      <c r="D12" s="35">
        <v>9.6760000000000002</v>
      </c>
      <c r="E12" s="35">
        <v>10.058999999999999</v>
      </c>
      <c r="F12" s="35"/>
    </row>
    <row r="13" spans="1:6" x14ac:dyDescent="0.25">
      <c r="A13" s="48" t="s">
        <v>5</v>
      </c>
      <c r="B13" s="35"/>
      <c r="C13" s="35"/>
      <c r="D13" s="35"/>
      <c r="E13" s="35"/>
    </row>
    <row r="14" spans="1:6" x14ac:dyDescent="0.25">
      <c r="A14" s="53" t="s">
        <v>51</v>
      </c>
      <c r="B14" s="35">
        <v>5.8719999999999999</v>
      </c>
      <c r="C14" s="35">
        <v>5.9379999999999997</v>
      </c>
      <c r="D14" s="35">
        <v>5.9249999999999998</v>
      </c>
      <c r="E14" s="35">
        <v>5.9089999999999998</v>
      </c>
      <c r="F14" s="35"/>
    </row>
    <row r="15" spans="1:6" x14ac:dyDescent="0.25">
      <c r="A15" s="53" t="s">
        <v>52</v>
      </c>
      <c r="B15" s="35">
        <v>5.7220000000000004</v>
      </c>
      <c r="C15" s="35">
        <v>5.7030000000000003</v>
      </c>
      <c r="D15" s="35">
        <v>5.681</v>
      </c>
      <c r="E15" s="35">
        <v>5.6619999999999999</v>
      </c>
    </row>
    <row r="16" spans="1:6" x14ac:dyDescent="0.25">
      <c r="A16" s="48" t="s">
        <v>6</v>
      </c>
      <c r="B16" s="35"/>
      <c r="C16" s="35"/>
      <c r="D16" s="35"/>
      <c r="E16" s="35"/>
    </row>
    <row r="17" spans="1:9" x14ac:dyDescent="0.25">
      <c r="A17" s="53" t="s">
        <v>51</v>
      </c>
      <c r="B17" s="35">
        <v>1.58</v>
      </c>
      <c r="C17" s="35">
        <v>1.179</v>
      </c>
      <c r="D17" s="35">
        <v>1.2210000000000001</v>
      </c>
      <c r="E17" s="35">
        <v>1.218</v>
      </c>
      <c r="F17" s="35"/>
    </row>
    <row r="18" spans="1:9" x14ac:dyDescent="0.25">
      <c r="A18" s="53" t="s">
        <v>52</v>
      </c>
      <c r="B18" s="35">
        <v>1.266</v>
      </c>
      <c r="C18" s="35">
        <v>1.2290000000000001</v>
      </c>
      <c r="D18" s="35">
        <v>1.288</v>
      </c>
      <c r="E18" s="35">
        <v>1.304</v>
      </c>
    </row>
    <row r="19" spans="1:9" ht="16.2" x14ac:dyDescent="0.25">
      <c r="A19" s="48" t="s">
        <v>192</v>
      </c>
      <c r="B19" s="35"/>
      <c r="C19" s="35"/>
      <c r="D19" s="35"/>
      <c r="E19" s="35"/>
    </row>
    <row r="20" spans="1:9" x14ac:dyDescent="0.25">
      <c r="A20" s="53" t="s">
        <v>51</v>
      </c>
      <c r="B20" s="35">
        <v>0.26700000000000002</v>
      </c>
      <c r="C20" s="35">
        <v>0.23200000000000001</v>
      </c>
      <c r="D20" s="35">
        <v>0.20100000000000001</v>
      </c>
      <c r="E20" s="35">
        <v>0.182</v>
      </c>
    </row>
    <row r="21" spans="1:9" x14ac:dyDescent="0.25">
      <c r="A21" s="53" t="s">
        <v>52</v>
      </c>
      <c r="B21" s="35">
        <v>1.3109999999999999</v>
      </c>
      <c r="C21" s="35">
        <v>0.85099999999999998</v>
      </c>
      <c r="D21" s="35">
        <v>0.74099999999999999</v>
      </c>
      <c r="E21" s="35">
        <v>0.68</v>
      </c>
    </row>
    <row r="22" spans="1:9" ht="16.2" x14ac:dyDescent="0.25">
      <c r="A22" s="48" t="s">
        <v>193</v>
      </c>
      <c r="B22" s="35"/>
      <c r="C22" s="35"/>
      <c r="D22" s="35"/>
      <c r="E22" s="35"/>
    </row>
    <row r="23" spans="1:9" x14ac:dyDescent="0.25">
      <c r="A23" s="53" t="s">
        <v>51</v>
      </c>
      <c r="B23" s="35">
        <v>0.61499999999999999</v>
      </c>
      <c r="C23" s="35">
        <v>0.92100000000000004</v>
      </c>
      <c r="D23" s="35">
        <v>1.0249999999999999</v>
      </c>
      <c r="E23" s="35">
        <v>1.083</v>
      </c>
      <c r="F23" s="35"/>
    </row>
    <row r="24" spans="1:9" x14ac:dyDescent="0.25">
      <c r="A24" s="53" t="s">
        <v>52</v>
      </c>
      <c r="B24" s="35">
        <v>0.61699999999999999</v>
      </c>
      <c r="C24" s="35">
        <v>0.89</v>
      </c>
      <c r="D24" s="35">
        <v>0.98899999999999999</v>
      </c>
      <c r="E24" s="35">
        <v>1.036</v>
      </c>
    </row>
    <row r="25" spans="1:9" ht="21" customHeight="1" x14ac:dyDescent="0.25">
      <c r="A25" s="54" t="s">
        <v>53</v>
      </c>
      <c r="B25" s="35"/>
      <c r="C25" s="35"/>
      <c r="D25" s="35"/>
      <c r="E25" s="35"/>
    </row>
    <row r="26" spans="1:9" x14ac:dyDescent="0.25">
      <c r="A26" s="55" t="s">
        <v>51</v>
      </c>
      <c r="B26" s="40">
        <v>17.805</v>
      </c>
      <c r="C26" s="40">
        <v>18.442</v>
      </c>
      <c r="D26" s="40">
        <v>18.991</v>
      </c>
      <c r="E26" s="40">
        <v>19.321999999999999</v>
      </c>
    </row>
    <row r="27" spans="1:9" x14ac:dyDescent="0.25">
      <c r="A27" s="55" t="s">
        <v>52</v>
      </c>
      <c r="B27" s="40">
        <v>17.541</v>
      </c>
      <c r="C27" s="40">
        <v>17.826000000000001</v>
      </c>
      <c r="D27" s="40">
        <v>18.373999999999999</v>
      </c>
      <c r="E27" s="40">
        <v>18.741</v>
      </c>
    </row>
    <row r="28" spans="1:9" ht="21" customHeight="1" x14ac:dyDescent="0.25">
      <c r="A28" s="19" t="s">
        <v>8</v>
      </c>
      <c r="B28" s="35"/>
      <c r="C28" s="35"/>
      <c r="D28" s="35"/>
      <c r="E28" s="35"/>
    </row>
    <row r="29" spans="1:9" x14ac:dyDescent="0.25">
      <c r="A29" s="48" t="s">
        <v>9</v>
      </c>
      <c r="B29" s="35"/>
      <c r="C29" s="35"/>
      <c r="D29" s="35"/>
      <c r="E29" s="35"/>
    </row>
    <row r="30" spans="1:9" x14ac:dyDescent="0.25">
      <c r="A30" s="42" t="s">
        <v>10</v>
      </c>
      <c r="B30" s="35"/>
      <c r="C30" s="35"/>
      <c r="D30" s="35"/>
      <c r="E30" s="35"/>
      <c r="F30" s="2"/>
      <c r="G30" s="126"/>
      <c r="H30" s="2"/>
      <c r="I30" s="2"/>
    </row>
    <row r="31" spans="1:9" x14ac:dyDescent="0.25">
      <c r="A31" s="53" t="s">
        <v>51</v>
      </c>
      <c r="B31" s="35">
        <v>5.31</v>
      </c>
      <c r="C31" s="35">
        <v>5.9589999999999996</v>
      </c>
      <c r="D31" s="35">
        <v>5.8780000000000001</v>
      </c>
      <c r="E31" s="35">
        <v>6.06</v>
      </c>
      <c r="F31" s="43"/>
    </row>
    <row r="32" spans="1:9" x14ac:dyDescent="0.25">
      <c r="A32" s="53" t="s">
        <v>52</v>
      </c>
      <c r="B32" s="35">
        <v>5.2220000000000004</v>
      </c>
      <c r="C32" s="35">
        <v>5.8689999999999998</v>
      </c>
      <c r="D32" s="35">
        <v>5.7889999999999997</v>
      </c>
      <c r="E32" s="35">
        <v>5.968</v>
      </c>
      <c r="F32" s="43"/>
    </row>
    <row r="33" spans="1:10" ht="16.2" x14ac:dyDescent="0.25">
      <c r="A33" s="42" t="s">
        <v>194</v>
      </c>
      <c r="B33" s="35"/>
      <c r="C33" s="35"/>
      <c r="D33" s="35"/>
      <c r="E33" s="35"/>
      <c r="F33" s="43"/>
    </row>
    <row r="34" spans="1:10" x14ac:dyDescent="0.25">
      <c r="A34" s="53" t="s">
        <v>51</v>
      </c>
      <c r="B34" s="144">
        <v>5.8440000000000003</v>
      </c>
      <c r="C34" s="144">
        <v>6.915</v>
      </c>
      <c r="D34" s="144">
        <v>7.7330000000000005</v>
      </c>
      <c r="E34" s="144">
        <v>8.1010000000000009</v>
      </c>
      <c r="F34" s="43"/>
    </row>
    <row r="35" spans="1:10" x14ac:dyDescent="0.25">
      <c r="A35" s="53" t="s">
        <v>52</v>
      </c>
      <c r="B35" s="35">
        <v>5.9820000000000002</v>
      </c>
      <c r="C35" s="35">
        <v>6.758</v>
      </c>
      <c r="D35" s="35">
        <v>7.6239999999999997</v>
      </c>
      <c r="E35" s="35">
        <v>8.0399999999999991</v>
      </c>
      <c r="F35" s="43"/>
    </row>
    <row r="36" spans="1:10" ht="16.2" x14ac:dyDescent="0.25">
      <c r="A36" s="42" t="s">
        <v>195</v>
      </c>
      <c r="B36" s="35"/>
      <c r="C36" s="35"/>
      <c r="D36" s="35"/>
      <c r="E36" s="35"/>
      <c r="F36" s="43"/>
    </row>
    <row r="37" spans="1:10" x14ac:dyDescent="0.25">
      <c r="A37" s="53" t="s">
        <v>51</v>
      </c>
      <c r="B37" s="144">
        <v>2.8410000000000002</v>
      </c>
      <c r="C37" s="144">
        <v>2.3420000000000001</v>
      </c>
      <c r="D37" s="144">
        <v>2.09</v>
      </c>
      <c r="E37" s="144">
        <v>1.917</v>
      </c>
      <c r="F37" s="43"/>
    </row>
    <row r="38" spans="1:10" x14ac:dyDescent="0.25">
      <c r="A38" s="53" t="s">
        <v>52</v>
      </c>
      <c r="B38" s="35">
        <v>2.9940000000000002</v>
      </c>
      <c r="C38" s="35">
        <v>2.484</v>
      </c>
      <c r="D38" s="35">
        <v>2.367</v>
      </c>
      <c r="E38" s="35">
        <v>2.294</v>
      </c>
      <c r="F38" s="43"/>
    </row>
    <row r="39" spans="1:10" x14ac:dyDescent="0.25">
      <c r="A39" s="56" t="s">
        <v>54</v>
      </c>
      <c r="B39" s="35"/>
      <c r="C39" s="35"/>
      <c r="D39" s="35"/>
      <c r="E39" s="35"/>
      <c r="F39" s="43"/>
    </row>
    <row r="40" spans="1:10" x14ac:dyDescent="0.25">
      <c r="A40" s="53" t="s">
        <v>51</v>
      </c>
      <c r="B40" s="35">
        <v>13.994999999999999</v>
      </c>
      <c r="C40" s="35">
        <v>15.215999999999999</v>
      </c>
      <c r="D40" s="35">
        <v>15.701000000000001</v>
      </c>
      <c r="E40" s="35">
        <v>16.077000000000002</v>
      </c>
      <c r="F40" s="43"/>
    </row>
    <row r="41" spans="1:10" x14ac:dyDescent="0.25">
      <c r="A41" s="53" t="s">
        <v>52</v>
      </c>
      <c r="B41" s="35">
        <v>14.198</v>
      </c>
      <c r="C41" s="35">
        <v>15.111000000000001</v>
      </c>
      <c r="D41" s="35">
        <v>15.78</v>
      </c>
      <c r="E41" s="35">
        <v>16.302</v>
      </c>
      <c r="F41" s="43"/>
    </row>
    <row r="42" spans="1:10" x14ac:dyDescent="0.25">
      <c r="A42" s="48" t="s">
        <v>13</v>
      </c>
      <c r="B42" s="35"/>
      <c r="C42" s="35"/>
      <c r="D42" s="35"/>
      <c r="E42" s="35"/>
      <c r="F42" s="43"/>
    </row>
    <row r="43" spans="1:10" x14ac:dyDescent="0.25">
      <c r="A43" s="53" t="s">
        <v>51</v>
      </c>
      <c r="B43" s="43">
        <v>6.0529999999999999</v>
      </c>
      <c r="C43" s="43">
        <v>5.16</v>
      </c>
      <c r="D43" s="43">
        <v>5.1100000000000003</v>
      </c>
      <c r="E43" s="35">
        <v>5.1100000000000003</v>
      </c>
      <c r="F43" s="43"/>
      <c r="G43" s="5"/>
      <c r="H43" s="5"/>
      <c r="I43" s="5"/>
      <c r="J43" s="5"/>
    </row>
    <row r="44" spans="1:10" x14ac:dyDescent="0.25">
      <c r="A44" s="53" t="s">
        <v>52</v>
      </c>
      <c r="B44" s="35">
        <v>5.8940000000000001</v>
      </c>
      <c r="C44" s="35">
        <v>4.7380000000000004</v>
      </c>
      <c r="D44" s="35">
        <v>4.641</v>
      </c>
      <c r="E44" s="35">
        <v>4.641</v>
      </c>
      <c r="F44" s="43"/>
      <c r="G44" s="5"/>
      <c r="H44" s="5"/>
      <c r="I44" s="5"/>
      <c r="J44" s="5"/>
    </row>
    <row r="45" spans="1:10" x14ac:dyDescent="0.25">
      <c r="A45" s="48" t="s">
        <v>55</v>
      </c>
      <c r="B45" s="35"/>
      <c r="C45" s="35"/>
      <c r="D45" s="35"/>
      <c r="E45" s="35"/>
      <c r="F45" s="43"/>
      <c r="G45" s="5"/>
      <c r="H45" s="5"/>
      <c r="I45" s="5"/>
      <c r="J45" s="5"/>
    </row>
    <row r="46" spans="1:10" x14ac:dyDescent="0.25">
      <c r="A46" s="53" t="s">
        <v>51</v>
      </c>
      <c r="B46" s="35">
        <v>3.2229999999999999</v>
      </c>
      <c r="C46" s="35">
        <v>4.1440000000000001</v>
      </c>
      <c r="D46" s="43">
        <v>4.7640000000000002</v>
      </c>
      <c r="E46" s="35">
        <v>5.4240000000000004</v>
      </c>
      <c r="F46" s="43"/>
      <c r="G46" s="5"/>
      <c r="H46" s="5"/>
      <c r="I46" s="5"/>
      <c r="J46" s="5"/>
    </row>
    <row r="47" spans="1:10" x14ac:dyDescent="0.25">
      <c r="A47" s="53" t="s">
        <v>52</v>
      </c>
      <c r="B47" s="35">
        <v>3.2570000000000001</v>
      </c>
      <c r="C47" s="35">
        <v>4.6870000000000003</v>
      </c>
      <c r="D47" s="35">
        <v>5.7919999999999998</v>
      </c>
      <c r="E47" s="35">
        <v>6.79</v>
      </c>
      <c r="F47" s="43"/>
      <c r="G47" s="5"/>
      <c r="H47" s="5"/>
      <c r="I47" s="5"/>
      <c r="J47" s="5"/>
    </row>
    <row r="48" spans="1:10" ht="21" customHeight="1" x14ac:dyDescent="0.25">
      <c r="A48" s="54" t="s">
        <v>56</v>
      </c>
      <c r="B48" s="40"/>
      <c r="C48" s="40"/>
      <c r="D48" s="40"/>
      <c r="E48" s="40"/>
      <c r="G48" s="5"/>
      <c r="H48" s="5"/>
      <c r="I48" s="5"/>
      <c r="J48" s="5"/>
    </row>
    <row r="49" spans="1:14" x14ac:dyDescent="0.25">
      <c r="A49" s="55" t="s">
        <v>51</v>
      </c>
      <c r="B49" s="40">
        <v>23.271999999999998</v>
      </c>
      <c r="C49" s="40">
        <v>24.52</v>
      </c>
      <c r="D49" s="91">
        <v>25.574000000000002</v>
      </c>
      <c r="E49" s="91">
        <v>26.61</v>
      </c>
      <c r="F49" s="5"/>
      <c r="G49" s="5"/>
      <c r="H49" s="5"/>
      <c r="I49" s="5"/>
      <c r="K49" s="5"/>
      <c r="L49" s="5"/>
      <c r="M49" s="5"/>
      <c r="N49" s="5"/>
    </row>
    <row r="50" spans="1:14" x14ac:dyDescent="0.25">
      <c r="A50" s="55" t="s">
        <v>52</v>
      </c>
      <c r="B50" s="40">
        <v>23.347999999999999</v>
      </c>
      <c r="C50" s="40">
        <v>24.535</v>
      </c>
      <c r="D50" s="40">
        <v>26.213000000000001</v>
      </c>
      <c r="E50" s="40">
        <v>27.733000000000001</v>
      </c>
      <c r="K50" s="5"/>
      <c r="L50" s="5"/>
      <c r="M50" s="5"/>
      <c r="N50" s="5"/>
    </row>
    <row r="51" spans="1:14" ht="21" customHeight="1" x14ac:dyDescent="0.25">
      <c r="A51" s="12" t="s">
        <v>196</v>
      </c>
      <c r="B51" s="40"/>
      <c r="C51" s="40"/>
      <c r="D51" s="40"/>
      <c r="E51" s="40"/>
      <c r="K51" s="5"/>
      <c r="L51" s="5"/>
      <c r="M51" s="5"/>
      <c r="N51" s="5"/>
    </row>
    <row r="52" spans="1:14" x14ac:dyDescent="0.25">
      <c r="A52" s="55" t="s">
        <v>51</v>
      </c>
      <c r="B52" s="40">
        <v>-5.4660000000000002</v>
      </c>
      <c r="C52" s="40">
        <v>-6.0780000000000003</v>
      </c>
      <c r="D52" s="40">
        <v>-6.5839999999999996</v>
      </c>
      <c r="E52" s="40">
        <v>-7.2889999999999997</v>
      </c>
      <c r="F52" s="43"/>
      <c r="G52" s="43"/>
      <c r="H52" s="43"/>
      <c r="I52" s="43"/>
      <c r="K52" s="5"/>
      <c r="L52" s="5"/>
      <c r="M52" s="5"/>
      <c r="N52" s="5"/>
    </row>
    <row r="53" spans="1:14" x14ac:dyDescent="0.25">
      <c r="A53" s="55" t="s">
        <v>52</v>
      </c>
      <c r="B53" s="40">
        <v>-5.8070000000000004</v>
      </c>
      <c r="C53" s="40">
        <v>-6.7089999999999996</v>
      </c>
      <c r="D53" s="40">
        <v>-7.8390000000000004</v>
      </c>
      <c r="E53" s="40">
        <v>-8.9909999999999997</v>
      </c>
      <c r="K53" s="5"/>
      <c r="L53" s="5"/>
      <c r="M53" s="5"/>
      <c r="N53" s="5"/>
    </row>
    <row r="54" spans="1:14" ht="21" customHeight="1" x14ac:dyDescent="0.25">
      <c r="A54" s="12" t="s">
        <v>57</v>
      </c>
      <c r="B54" s="40"/>
      <c r="C54" s="40"/>
      <c r="D54" s="40"/>
      <c r="E54" s="40"/>
      <c r="K54" s="5"/>
      <c r="L54" s="5"/>
      <c r="M54" s="5"/>
      <c r="N54" s="5"/>
    </row>
    <row r="55" spans="1:14" x14ac:dyDescent="0.25">
      <c r="A55" s="55" t="s">
        <v>51</v>
      </c>
      <c r="B55" s="92">
        <v>101.727</v>
      </c>
      <c r="C55" s="92">
        <v>121.971</v>
      </c>
      <c r="D55" s="92">
        <v>139.715</v>
      </c>
      <c r="E55" s="92">
        <v>156.327</v>
      </c>
      <c r="F55" s="43"/>
      <c r="G55" s="43"/>
      <c r="H55" s="43"/>
      <c r="I55" s="43"/>
      <c r="K55" s="5"/>
      <c r="L55" s="5"/>
      <c r="M55" s="5"/>
      <c r="N55" s="5"/>
    </row>
    <row r="56" spans="1:14" x14ac:dyDescent="0.25">
      <c r="A56" s="55" t="s">
        <v>52</v>
      </c>
      <c r="B56" s="92">
        <v>100.605</v>
      </c>
      <c r="C56" s="92">
        <v>122.449</v>
      </c>
      <c r="D56" s="92">
        <v>147.27699999999999</v>
      </c>
      <c r="E56" s="92">
        <v>171.785</v>
      </c>
      <c r="K56" s="5"/>
      <c r="L56" s="5"/>
      <c r="M56" s="5"/>
      <c r="N56" s="5"/>
    </row>
    <row r="57" spans="1:14" ht="21" customHeight="1" x14ac:dyDescent="0.25">
      <c r="A57" s="12" t="s">
        <v>16</v>
      </c>
      <c r="B57" s="35"/>
      <c r="C57" s="35"/>
      <c r="D57" s="35"/>
      <c r="E57" s="35"/>
      <c r="K57" s="5"/>
      <c r="L57" s="5"/>
      <c r="M57" s="5"/>
      <c r="N57" s="5"/>
    </row>
    <row r="58" spans="1:14" x14ac:dyDescent="0.25">
      <c r="A58" s="16" t="s">
        <v>58</v>
      </c>
      <c r="B58" s="35"/>
      <c r="C58" s="35"/>
      <c r="D58" s="35"/>
      <c r="E58" s="35"/>
      <c r="K58" s="5"/>
      <c r="L58" s="5"/>
      <c r="M58" s="5"/>
      <c r="N58" s="5"/>
    </row>
    <row r="59" spans="1:14" x14ac:dyDescent="0.25">
      <c r="A59" s="53" t="s">
        <v>51</v>
      </c>
      <c r="B59" s="35">
        <v>20.047999999999998</v>
      </c>
      <c r="C59" s="35">
        <v>20.376000000000001</v>
      </c>
      <c r="D59" s="35">
        <v>20.81</v>
      </c>
      <c r="E59" s="35">
        <v>21.187000000000001</v>
      </c>
      <c r="F59" s="43"/>
      <c r="G59" s="43"/>
      <c r="H59" s="43"/>
      <c r="I59" s="43"/>
      <c r="K59" s="5"/>
      <c r="L59" s="5"/>
      <c r="M59" s="5"/>
      <c r="N59" s="5"/>
    </row>
    <row r="60" spans="1:14" x14ac:dyDescent="0.25">
      <c r="A60" s="53" t="s">
        <v>52</v>
      </c>
      <c r="B60" s="35">
        <v>20.091999999999999</v>
      </c>
      <c r="C60" s="35">
        <v>19.847999999999999</v>
      </c>
      <c r="D60" s="35">
        <v>20.420999999999999</v>
      </c>
      <c r="E60" s="35">
        <v>20.943000000000001</v>
      </c>
      <c r="K60" s="5"/>
      <c r="L60" s="5"/>
      <c r="M60" s="5"/>
      <c r="N60" s="5"/>
    </row>
    <row r="61" spans="1:14" ht="16.2" x14ac:dyDescent="0.25">
      <c r="A61" s="16" t="s">
        <v>197</v>
      </c>
      <c r="C61" s="35"/>
      <c r="D61" s="35"/>
      <c r="E61" s="35"/>
      <c r="K61" s="5"/>
      <c r="L61" s="5"/>
      <c r="M61" s="5"/>
      <c r="N61" s="5"/>
    </row>
    <row r="62" spans="1:14" x14ac:dyDescent="0.25">
      <c r="A62" s="53" t="s">
        <v>51</v>
      </c>
      <c r="B62" s="147">
        <v>-2.2429999999999999</v>
      </c>
      <c r="C62" s="147">
        <v>-1.9339999999999999</v>
      </c>
      <c r="D62" s="147">
        <v>-1.819</v>
      </c>
      <c r="E62" s="147">
        <v>-1.865</v>
      </c>
      <c r="F62" s="43"/>
      <c r="G62" s="43"/>
      <c r="H62" s="43"/>
      <c r="I62" s="43"/>
      <c r="K62" s="5"/>
      <c r="L62" s="5"/>
      <c r="M62" s="5"/>
      <c r="N62" s="5"/>
    </row>
    <row r="63" spans="1:14" x14ac:dyDescent="0.25">
      <c r="A63" s="53" t="s">
        <v>52</v>
      </c>
      <c r="B63" s="35">
        <v>-2.5510000000000002</v>
      </c>
      <c r="C63" s="35">
        <v>-2.0219999999999998</v>
      </c>
      <c r="D63" s="43">
        <v>-2.0470000000000002</v>
      </c>
      <c r="E63" s="35">
        <v>-2.2010000000000001</v>
      </c>
    </row>
    <row r="64" spans="1:14" x14ac:dyDescent="0.25">
      <c r="A64" s="21"/>
      <c r="B64" s="163"/>
      <c r="C64" s="163"/>
      <c r="D64" s="163"/>
      <c r="E64" s="163"/>
    </row>
    <row r="65" spans="1:5" x14ac:dyDescent="0.25">
      <c r="B65" s="16"/>
    </row>
    <row r="66" spans="1:5" x14ac:dyDescent="0.25">
      <c r="A66" s="197" t="s">
        <v>26</v>
      </c>
      <c r="B66" s="197"/>
      <c r="C66" s="197"/>
      <c r="D66" s="197"/>
      <c r="E66" s="197"/>
    </row>
    <row r="67" spans="1:5" ht="22.5" customHeight="1" x14ac:dyDescent="0.25">
      <c r="A67" s="197"/>
      <c r="B67" s="197"/>
      <c r="C67" s="197"/>
      <c r="D67" s="197"/>
      <c r="E67" s="197"/>
    </row>
    <row r="68" spans="1:5" ht="22.5" customHeight="1" x14ac:dyDescent="0.25">
      <c r="A68" s="16" t="s">
        <v>189</v>
      </c>
      <c r="B68" s="16"/>
      <c r="C68" s="16"/>
      <c r="D68" s="16"/>
      <c r="E68" s="16"/>
    </row>
    <row r="69" spans="1:5" ht="35.25" customHeight="1" x14ac:dyDescent="0.25">
      <c r="A69" s="193" t="s">
        <v>198</v>
      </c>
      <c r="B69" s="193"/>
      <c r="C69" s="193"/>
      <c r="D69" s="193"/>
      <c r="E69" s="193"/>
    </row>
    <row r="70" spans="1:5" ht="86.25" customHeight="1" x14ac:dyDescent="0.25">
      <c r="A70" s="193" t="s">
        <v>199</v>
      </c>
      <c r="B70" s="193"/>
      <c r="C70" s="193"/>
      <c r="D70" s="193"/>
      <c r="E70" s="193"/>
    </row>
    <row r="71" spans="1:5" ht="39" customHeight="1" x14ac:dyDescent="0.25">
      <c r="A71" s="193" t="s">
        <v>200</v>
      </c>
      <c r="B71" s="193"/>
      <c r="C71" s="193"/>
      <c r="D71" s="193"/>
      <c r="E71" s="193"/>
    </row>
    <row r="72" spans="1:5" ht="36" customHeight="1" x14ac:dyDescent="0.25">
      <c r="A72" s="193" t="s">
        <v>213</v>
      </c>
      <c r="B72" s="193"/>
      <c r="C72" s="193"/>
      <c r="D72" s="193"/>
      <c r="E72" s="193"/>
    </row>
    <row r="73" spans="1:5" ht="30" customHeight="1" x14ac:dyDescent="0.25">
      <c r="A73" s="193" t="s">
        <v>201</v>
      </c>
      <c r="B73" s="193"/>
      <c r="C73" s="193"/>
      <c r="D73" s="193"/>
      <c r="E73" s="193"/>
    </row>
    <row r="74" spans="1:5" ht="15.75" customHeight="1" x14ac:dyDescent="0.25">
      <c r="A74" s="166"/>
      <c r="B74" s="166"/>
      <c r="C74" s="166"/>
      <c r="D74" s="166"/>
      <c r="E74" s="166"/>
    </row>
    <row r="75" spans="1:5" ht="15.75" customHeight="1" x14ac:dyDescent="0.25">
      <c r="A75" s="9"/>
      <c r="B75" s="9"/>
      <c r="C75" s="9"/>
      <c r="D75" s="9"/>
      <c r="E75" s="9"/>
    </row>
    <row r="76" spans="1:5" x14ac:dyDescent="0.25">
      <c r="A76" s="186" t="s">
        <v>23</v>
      </c>
    </row>
  </sheetData>
  <mergeCells count="8">
    <mergeCell ref="A70:E70"/>
    <mergeCell ref="A71:E71"/>
    <mergeCell ref="A72:E72"/>
    <mergeCell ref="A73:E73"/>
    <mergeCell ref="A5:E5"/>
    <mergeCell ref="A66:E66"/>
    <mergeCell ref="A67:E67"/>
    <mergeCell ref="A69:E69"/>
  </mergeCells>
  <hyperlinks>
    <hyperlink ref="A76" location="Contents!A1" display="Back to Table of Contents" xr:uid="{8DBDE9D7-E7B3-8C41-AA60-EADCDBF9D63D}"/>
    <hyperlink ref="A2" r:id="rId1" xr:uid="{D107CE94-ED92-494C-877F-9D6B07658DAD}"/>
  </hyperlinks>
  <pageMargins left="0.7" right="0.7" top="0.75" bottom="0.75" header="0.3" footer="0.3"/>
  <pageSetup orientation="portrait" horizontalDpi="1200" verticalDpi="1200"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BB728-84C3-B345-B807-444B7E04119F}">
  <sheetPr codeName="Sheet21">
    <pageSetUpPr fitToPage="1"/>
  </sheetPr>
  <dimension ref="A1:X52"/>
  <sheetViews>
    <sheetView zoomScaleNormal="100" workbookViewId="0"/>
  </sheetViews>
  <sheetFormatPr defaultColWidth="9.109375" defaultRowHeight="15" customHeight="1" x14ac:dyDescent="0.25"/>
  <cols>
    <col min="1" max="1" width="12.44140625" style="19" customWidth="1"/>
    <col min="2" max="2" width="13.44140625" style="16" customWidth="1"/>
    <col min="3" max="3" width="12.44140625" style="16" customWidth="1"/>
    <col min="4" max="4" width="1.44140625" style="16" customWidth="1"/>
    <col min="5" max="6" width="12.44140625" style="20" customWidth="1"/>
    <col min="7" max="7" width="1.44140625" style="16" customWidth="1"/>
    <col min="8" max="8" width="14" style="20" customWidth="1"/>
    <col min="9" max="9" width="13.109375" style="20" customWidth="1"/>
    <col min="10" max="16" width="9.109375" style="16" customWidth="1"/>
    <col min="17" max="17" width="10.44140625" style="16" bestFit="1" customWidth="1"/>
    <col min="18" max="22" width="9.109375" style="16" customWidth="1"/>
    <col min="23" max="23" width="9.109375" style="4" customWidth="1"/>
    <col min="24" max="24" width="11.44140625" style="4" bestFit="1" customWidth="1"/>
    <col min="25" max="116" width="9.109375" style="16" customWidth="1"/>
    <col min="117" max="16384" width="9.109375" style="16"/>
  </cols>
  <sheetData>
    <row r="1" spans="1:24" ht="14.25" customHeight="1" x14ac:dyDescent="0.3">
      <c r="A1" s="24" t="s">
        <v>215</v>
      </c>
      <c r="E1" s="16"/>
      <c r="F1" s="16"/>
      <c r="H1" s="16"/>
      <c r="I1" s="60"/>
      <c r="W1" s="16"/>
      <c r="X1" s="16"/>
    </row>
    <row r="2" spans="1:24" ht="14.25" customHeight="1" x14ac:dyDescent="0.25">
      <c r="A2" s="186" t="s">
        <v>0</v>
      </c>
      <c r="B2" s="6"/>
      <c r="E2" s="6"/>
      <c r="F2" s="6"/>
      <c r="H2" s="16"/>
      <c r="I2" s="16"/>
      <c r="W2" s="16"/>
      <c r="X2" s="16"/>
    </row>
    <row r="3" spans="1:24" ht="14.25" customHeight="1" x14ac:dyDescent="0.25">
      <c r="A3" s="16"/>
      <c r="E3" s="16"/>
      <c r="F3" s="16"/>
      <c r="H3" s="16"/>
      <c r="I3" s="16"/>
      <c r="W3" s="16"/>
      <c r="X3" s="16"/>
    </row>
    <row r="4" spans="1:24" ht="15" customHeight="1" x14ac:dyDescent="0.25">
      <c r="B4" s="159"/>
      <c r="C4" s="159"/>
      <c r="D4" s="159"/>
      <c r="E4" s="159"/>
      <c r="F4" s="159"/>
      <c r="G4" s="159"/>
      <c r="H4" s="159"/>
      <c r="I4" s="159"/>
    </row>
    <row r="5" spans="1:24" ht="30" customHeight="1" x14ac:dyDescent="0.25">
      <c r="A5" s="212" t="s">
        <v>160</v>
      </c>
      <c r="B5" s="197"/>
      <c r="C5" s="197"/>
      <c r="D5" s="197"/>
      <c r="E5" s="211"/>
      <c r="F5" s="211"/>
      <c r="G5" s="197"/>
      <c r="H5" s="211"/>
      <c r="I5" s="211"/>
    </row>
    <row r="6" spans="1:24" ht="15" customHeight="1" x14ac:dyDescent="0.25">
      <c r="A6" s="21" t="s">
        <v>49</v>
      </c>
      <c r="B6" s="21"/>
      <c r="C6" s="21"/>
      <c r="D6" s="21"/>
      <c r="E6" s="21"/>
      <c r="F6" s="21"/>
      <c r="G6" s="21"/>
      <c r="H6" s="21"/>
      <c r="I6" s="21"/>
    </row>
    <row r="7" spans="1:24" ht="15" customHeight="1" x14ac:dyDescent="0.25">
      <c r="A7" s="16"/>
      <c r="E7" s="16"/>
      <c r="F7" s="16"/>
      <c r="H7" s="16"/>
      <c r="I7" s="16"/>
    </row>
    <row r="8" spans="1:24" ht="30" customHeight="1" x14ac:dyDescent="0.25">
      <c r="A8" s="16"/>
      <c r="B8" s="221" t="s">
        <v>113</v>
      </c>
      <c r="C8" s="224"/>
      <c r="D8" s="9"/>
      <c r="E8" s="221" t="s">
        <v>114</v>
      </c>
      <c r="F8" s="221"/>
      <c r="G8" s="9"/>
      <c r="H8" s="221" t="s">
        <v>115</v>
      </c>
      <c r="I8" s="224"/>
    </row>
    <row r="9" spans="1:24" ht="32.25" customHeight="1" x14ac:dyDescent="0.25">
      <c r="A9" s="160"/>
      <c r="B9" s="164" t="s">
        <v>51</v>
      </c>
      <c r="C9" s="61" t="s">
        <v>52</v>
      </c>
      <c r="D9" s="164"/>
      <c r="E9" s="164" t="s">
        <v>51</v>
      </c>
      <c r="F9" s="61" t="s">
        <v>52</v>
      </c>
      <c r="G9" s="164"/>
      <c r="H9" s="164" t="s">
        <v>51</v>
      </c>
      <c r="I9" s="61" t="s">
        <v>52</v>
      </c>
      <c r="J9" s="58"/>
    </row>
    <row r="10" spans="1:24" ht="15" customHeight="1" x14ac:dyDescent="0.25">
      <c r="A10" s="19">
        <v>2025</v>
      </c>
      <c r="B10" s="43">
        <v>3.03</v>
      </c>
      <c r="C10" s="43">
        <v>2.6560000000000001</v>
      </c>
      <c r="D10" s="62"/>
      <c r="E10" s="43">
        <v>6.1890000000000001</v>
      </c>
      <c r="F10" s="142">
        <v>5.8470000000000004</v>
      </c>
      <c r="G10" s="143"/>
      <c r="H10" s="185">
        <v>99.888999999999996</v>
      </c>
      <c r="I10" s="2">
        <v>99.375</v>
      </c>
      <c r="W10" s="16"/>
      <c r="X10" s="16"/>
    </row>
    <row r="11" spans="1:24" ht="15" customHeight="1" x14ac:dyDescent="0.25">
      <c r="A11" s="19">
        <v>2026</v>
      </c>
      <c r="B11" s="43">
        <v>2.2429999999999999</v>
      </c>
      <c r="C11" s="43">
        <v>2.5510000000000002</v>
      </c>
      <c r="D11" s="62"/>
      <c r="E11" s="43">
        <v>5.4660000000000002</v>
      </c>
      <c r="F11" s="43">
        <v>5.8070000000000004</v>
      </c>
      <c r="G11" s="143"/>
      <c r="H11" s="185">
        <v>101.727</v>
      </c>
      <c r="I11" s="185">
        <v>100.605</v>
      </c>
      <c r="W11" s="16"/>
      <c r="X11" s="16"/>
    </row>
    <row r="12" spans="1:24" ht="15" customHeight="1" x14ac:dyDescent="0.25">
      <c r="A12" s="19">
        <v>2027</v>
      </c>
      <c r="B12" s="43">
        <v>1.88</v>
      </c>
      <c r="C12" s="43">
        <v>2.34</v>
      </c>
      <c r="D12" s="62"/>
      <c r="E12" s="43">
        <v>5.1849999999999996</v>
      </c>
      <c r="F12" s="43">
        <v>5.665</v>
      </c>
      <c r="G12" s="143"/>
      <c r="H12" s="185">
        <v>103.375</v>
      </c>
      <c r="I12" s="185">
        <v>102.069</v>
      </c>
      <c r="W12" s="16"/>
      <c r="X12" s="16"/>
    </row>
    <row r="13" spans="1:24" ht="15" customHeight="1" x14ac:dyDescent="0.25">
      <c r="A13" s="19">
        <v>2028</v>
      </c>
      <c r="B13" s="43">
        <v>1.867</v>
      </c>
      <c r="C13" s="43">
        <v>2.13</v>
      </c>
      <c r="D13" s="62"/>
      <c r="E13" s="43">
        <v>5.3159999999999998</v>
      </c>
      <c r="F13" s="43">
        <v>5.6429999999999998</v>
      </c>
      <c r="G13" s="143"/>
      <c r="H13" s="185">
        <v>105.438</v>
      </c>
      <c r="I13" s="185">
        <v>104.116</v>
      </c>
      <c r="W13" s="16"/>
      <c r="X13" s="16"/>
    </row>
    <row r="14" spans="1:24" ht="15" customHeight="1" x14ac:dyDescent="0.25">
      <c r="A14" s="19">
        <v>2029</v>
      </c>
      <c r="B14" s="43">
        <v>2.3029999999999999</v>
      </c>
      <c r="C14" s="43">
        <v>2.274</v>
      </c>
      <c r="D14" s="62"/>
      <c r="E14" s="43">
        <v>5.8609999999999998</v>
      </c>
      <c r="F14" s="43">
        <v>5.952</v>
      </c>
      <c r="G14" s="143"/>
      <c r="H14" s="185">
        <v>107.22799999999999</v>
      </c>
      <c r="I14" s="185">
        <v>105.81100000000001</v>
      </c>
      <c r="W14" s="16"/>
      <c r="X14" s="16"/>
    </row>
    <row r="15" spans="1:24" ht="15" customHeight="1" x14ac:dyDescent="0.25">
      <c r="A15" s="19">
        <v>2030</v>
      </c>
      <c r="B15" s="43">
        <v>2.2320000000000002</v>
      </c>
      <c r="C15" s="43">
        <v>2.056</v>
      </c>
      <c r="D15" s="62"/>
      <c r="E15" s="43">
        <v>5.8789999999999996</v>
      </c>
      <c r="F15" s="43">
        <v>5.8860000000000001</v>
      </c>
      <c r="G15" s="143"/>
      <c r="H15" s="185">
        <v>109.21599999999999</v>
      </c>
      <c r="I15" s="185">
        <v>107.726</v>
      </c>
      <c r="W15" s="16"/>
      <c r="X15" s="16"/>
    </row>
    <row r="16" spans="1:24" ht="15" customHeight="1" x14ac:dyDescent="0.25">
      <c r="A16" s="19">
        <v>2031</v>
      </c>
      <c r="B16" s="43">
        <v>2.1589999999999998</v>
      </c>
      <c r="C16" s="43">
        <v>1.9</v>
      </c>
      <c r="D16" s="62"/>
      <c r="E16" s="43">
        <v>5.9080000000000004</v>
      </c>
      <c r="F16" s="43">
        <v>5.8890000000000002</v>
      </c>
      <c r="G16" s="143"/>
      <c r="H16" s="185">
        <v>111.114</v>
      </c>
      <c r="I16" s="185">
        <v>109.57299999999999</v>
      </c>
      <c r="W16" s="16"/>
      <c r="X16" s="16"/>
    </row>
    <row r="17" spans="1:24" ht="15" customHeight="1" x14ac:dyDescent="0.25">
      <c r="A17" s="19">
        <v>2032</v>
      </c>
      <c r="B17" s="43">
        <v>2.1819999999999999</v>
      </c>
      <c r="C17" s="43">
        <v>1.909</v>
      </c>
      <c r="D17" s="62"/>
      <c r="E17" s="43">
        <v>6.0389999999999997</v>
      </c>
      <c r="F17" s="43">
        <v>6.0570000000000004</v>
      </c>
      <c r="G17" s="143"/>
      <c r="H17" s="185">
        <v>113.042</v>
      </c>
      <c r="I17" s="185">
        <v>111.535</v>
      </c>
      <c r="W17" s="16"/>
      <c r="X17" s="16"/>
    </row>
    <row r="18" spans="1:24" ht="15" customHeight="1" x14ac:dyDescent="0.25">
      <c r="A18" s="19">
        <v>2033</v>
      </c>
      <c r="B18" s="43">
        <v>2.15</v>
      </c>
      <c r="C18" s="43">
        <v>1.9870000000000001</v>
      </c>
      <c r="D18" s="62"/>
      <c r="E18" s="43">
        <v>6.0860000000000003</v>
      </c>
      <c r="F18" s="43">
        <v>6.2560000000000002</v>
      </c>
      <c r="G18" s="143"/>
      <c r="H18" s="185">
        <v>115.25</v>
      </c>
      <c r="I18" s="185">
        <v>113.992</v>
      </c>
      <c r="W18" s="16"/>
      <c r="X18" s="16"/>
    </row>
    <row r="19" spans="1:24" ht="15" customHeight="1" x14ac:dyDescent="0.25">
      <c r="A19" s="19">
        <v>2034</v>
      </c>
      <c r="B19" s="43">
        <v>2.109</v>
      </c>
      <c r="C19" s="43">
        <v>2.081</v>
      </c>
      <c r="D19" s="62"/>
      <c r="E19" s="43">
        <v>6.109</v>
      </c>
      <c r="F19" s="43">
        <v>6.47</v>
      </c>
      <c r="G19" s="143"/>
      <c r="H19" s="185">
        <v>117.068</v>
      </c>
      <c r="I19" s="185">
        <v>116.18600000000001</v>
      </c>
      <c r="W19" s="16"/>
      <c r="X19" s="16"/>
    </row>
    <row r="20" spans="1:24" ht="15" customHeight="1" x14ac:dyDescent="0.25">
      <c r="A20" s="19">
        <v>2035</v>
      </c>
      <c r="B20" s="43">
        <v>2.085</v>
      </c>
      <c r="C20" s="43">
        <v>2.0840000000000001</v>
      </c>
      <c r="D20" s="62"/>
      <c r="E20" s="43">
        <v>6.1420000000000003</v>
      </c>
      <c r="F20" s="43">
        <v>6.57</v>
      </c>
      <c r="G20" s="143"/>
      <c r="H20" s="185">
        <v>118.48</v>
      </c>
      <c r="I20" s="185">
        <v>117.977</v>
      </c>
      <c r="W20" s="16"/>
      <c r="X20" s="16"/>
    </row>
    <row r="21" spans="1:24" ht="15" customHeight="1" x14ac:dyDescent="0.25">
      <c r="A21" s="19">
        <v>2036</v>
      </c>
      <c r="B21" s="43">
        <v>2.0150000000000001</v>
      </c>
      <c r="C21" s="43">
        <v>2.0790000000000002</v>
      </c>
      <c r="D21" s="62"/>
      <c r="E21" s="43">
        <v>6.1130000000000004</v>
      </c>
      <c r="F21" s="43">
        <v>6.6689999999999996</v>
      </c>
      <c r="G21" s="143"/>
      <c r="H21" s="185">
        <v>120.256</v>
      </c>
      <c r="I21" s="185">
        <v>120.209</v>
      </c>
      <c r="W21" s="16"/>
      <c r="X21" s="16"/>
    </row>
    <row r="22" spans="1:24" ht="15" customHeight="1" x14ac:dyDescent="0.25">
      <c r="A22" s="19">
        <v>2037</v>
      </c>
      <c r="B22" s="43">
        <v>1.9339999999999999</v>
      </c>
      <c r="C22" s="43">
        <v>2.0219999999999998</v>
      </c>
      <c r="D22" s="62"/>
      <c r="E22" s="43">
        <v>6.0780000000000003</v>
      </c>
      <c r="F22" s="43">
        <v>6.7089999999999996</v>
      </c>
      <c r="G22" s="143"/>
      <c r="H22" s="185">
        <v>121.971</v>
      </c>
      <c r="I22" s="185">
        <v>122.449</v>
      </c>
      <c r="W22" s="16"/>
      <c r="X22" s="16"/>
    </row>
    <row r="23" spans="1:24" ht="15" customHeight="1" x14ac:dyDescent="0.25">
      <c r="A23" s="19">
        <v>2038</v>
      </c>
      <c r="B23" s="43">
        <v>1.921</v>
      </c>
      <c r="C23" s="43">
        <v>2.0230000000000001</v>
      </c>
      <c r="D23" s="62"/>
      <c r="E23" s="43">
        <v>6.11</v>
      </c>
      <c r="F23" s="43">
        <v>6.81</v>
      </c>
      <c r="G23" s="143"/>
      <c r="H23" s="185">
        <v>123.69199999999999</v>
      </c>
      <c r="I23" s="185">
        <v>124.742</v>
      </c>
      <c r="W23" s="16"/>
      <c r="X23" s="16"/>
    </row>
    <row r="24" spans="1:24" ht="15" customHeight="1" x14ac:dyDescent="0.25">
      <c r="A24" s="19">
        <v>2039</v>
      </c>
      <c r="B24" s="43">
        <v>1.8879999999999999</v>
      </c>
      <c r="C24" s="43">
        <v>1.996</v>
      </c>
      <c r="D24" s="62"/>
      <c r="E24" s="43">
        <v>6.12</v>
      </c>
      <c r="F24" s="43">
        <v>6.883</v>
      </c>
      <c r="G24" s="143"/>
      <c r="H24" s="185">
        <v>125.40600000000001</v>
      </c>
      <c r="I24" s="185">
        <v>127.066</v>
      </c>
      <c r="W24" s="16"/>
      <c r="X24" s="16"/>
    </row>
    <row r="25" spans="1:24" ht="15" customHeight="1" x14ac:dyDescent="0.25">
      <c r="A25" s="19">
        <v>2040</v>
      </c>
      <c r="B25" s="43">
        <v>1.83</v>
      </c>
      <c r="C25" s="43">
        <v>1.952</v>
      </c>
      <c r="D25" s="62"/>
      <c r="E25" s="43">
        <v>6.1139999999999999</v>
      </c>
      <c r="F25" s="43">
        <v>6.9409999999999998</v>
      </c>
      <c r="G25" s="143"/>
      <c r="H25" s="185">
        <v>127.07899999999999</v>
      </c>
      <c r="I25" s="185">
        <v>129.38300000000001</v>
      </c>
      <c r="W25" s="16"/>
      <c r="X25" s="16"/>
    </row>
    <row r="26" spans="1:24" ht="15" customHeight="1" x14ac:dyDescent="0.25">
      <c r="A26" s="19">
        <v>2041</v>
      </c>
      <c r="B26" s="43">
        <v>1.7929999999999999</v>
      </c>
      <c r="C26" s="43">
        <v>1.944</v>
      </c>
      <c r="D26" s="62"/>
      <c r="E26" s="43">
        <v>6.1360000000000001</v>
      </c>
      <c r="F26" s="43">
        <v>7.0419999999999998</v>
      </c>
      <c r="G26" s="143"/>
      <c r="H26" s="185">
        <v>128.755</v>
      </c>
      <c r="I26" s="185">
        <v>131.71</v>
      </c>
      <c r="W26" s="16"/>
      <c r="X26" s="16"/>
    </row>
    <row r="27" spans="1:24" ht="15" customHeight="1" x14ac:dyDescent="0.25">
      <c r="A27" s="19">
        <v>2042</v>
      </c>
      <c r="B27" s="43">
        <v>1.837</v>
      </c>
      <c r="C27" s="43">
        <v>1.9910000000000001</v>
      </c>
      <c r="D27" s="62"/>
      <c r="E27" s="43">
        <v>6.2480000000000002</v>
      </c>
      <c r="F27" s="43">
        <v>7.2080000000000002</v>
      </c>
      <c r="G27" s="143"/>
      <c r="H27" s="185">
        <v>130.52099999999999</v>
      </c>
      <c r="I27" s="185">
        <v>134.155</v>
      </c>
      <c r="W27" s="16"/>
      <c r="X27" s="16"/>
    </row>
    <row r="28" spans="1:24" ht="15" customHeight="1" x14ac:dyDescent="0.25">
      <c r="A28" s="19">
        <v>2043</v>
      </c>
      <c r="B28" s="43">
        <v>1.8080000000000001</v>
      </c>
      <c r="C28" s="43">
        <v>1.984</v>
      </c>
      <c r="D28" s="62"/>
      <c r="E28" s="43">
        <v>6.2880000000000003</v>
      </c>
      <c r="F28" s="43">
        <v>7.3179999999999996</v>
      </c>
      <c r="G28" s="143"/>
      <c r="H28" s="185">
        <v>132.29499999999999</v>
      </c>
      <c r="I28" s="185">
        <v>136.631</v>
      </c>
      <c r="W28" s="16"/>
      <c r="X28" s="16"/>
    </row>
    <row r="29" spans="1:24" ht="15" customHeight="1" x14ac:dyDescent="0.25">
      <c r="A29" s="19">
        <v>2044</v>
      </c>
      <c r="B29" s="43">
        <v>1.8149999999999999</v>
      </c>
      <c r="C29" s="43">
        <v>2.0089999999999999</v>
      </c>
      <c r="D29" s="62"/>
      <c r="E29" s="43">
        <v>6.3609999999999998</v>
      </c>
      <c r="F29" s="43">
        <v>7.452</v>
      </c>
      <c r="G29" s="143"/>
      <c r="H29" s="185">
        <v>134.10499999999999</v>
      </c>
      <c r="I29" s="185">
        <v>139.16800000000001</v>
      </c>
      <c r="W29" s="16"/>
      <c r="X29" s="16"/>
    </row>
    <row r="30" spans="1:24" ht="15" customHeight="1" x14ac:dyDescent="0.25">
      <c r="A30" s="19">
        <v>2045</v>
      </c>
      <c r="B30" s="43">
        <v>1.8120000000000001</v>
      </c>
      <c r="C30" s="43">
        <v>2.0209999999999999</v>
      </c>
      <c r="D30" s="62"/>
      <c r="E30" s="43">
        <v>6.4269999999999996</v>
      </c>
      <c r="F30" s="43">
        <v>7.5750000000000002</v>
      </c>
      <c r="G30" s="143"/>
      <c r="H30" s="185">
        <v>135.941</v>
      </c>
      <c r="I30" s="185">
        <v>141.78399999999999</v>
      </c>
      <c r="W30" s="16"/>
      <c r="X30" s="16"/>
    </row>
    <row r="31" spans="1:24" ht="15" customHeight="1" x14ac:dyDescent="0.25">
      <c r="A31" s="19">
        <v>2046</v>
      </c>
      <c r="B31" s="43">
        <v>1.8120000000000001</v>
      </c>
      <c r="C31" s="43">
        <v>2.0249999999999999</v>
      </c>
      <c r="D31" s="62"/>
      <c r="E31" s="43">
        <v>6.5</v>
      </c>
      <c r="F31" s="43">
        <v>7.7009999999999996</v>
      </c>
      <c r="G31" s="143"/>
      <c r="H31" s="185">
        <v>137.809</v>
      </c>
      <c r="I31" s="185">
        <v>144.49700000000001</v>
      </c>
      <c r="W31" s="16"/>
      <c r="X31" s="16"/>
    </row>
    <row r="32" spans="1:24" ht="15" customHeight="1" x14ac:dyDescent="0.25">
      <c r="A32" s="19">
        <v>2047</v>
      </c>
      <c r="B32" s="43">
        <v>1.819</v>
      </c>
      <c r="C32" s="43">
        <v>2.0470000000000002</v>
      </c>
      <c r="D32" s="62"/>
      <c r="E32" s="43">
        <v>6.5839999999999996</v>
      </c>
      <c r="F32" s="43">
        <v>7.8390000000000004</v>
      </c>
      <c r="G32" s="143"/>
      <c r="H32" s="185">
        <v>139.715</v>
      </c>
      <c r="I32" s="185">
        <v>147.27699999999999</v>
      </c>
      <c r="W32" s="16"/>
      <c r="X32" s="16"/>
    </row>
    <row r="33" spans="1:24" ht="15" customHeight="1" x14ac:dyDescent="0.25">
      <c r="A33" s="19">
        <v>2048</v>
      </c>
      <c r="B33" s="43">
        <v>1.8140000000000001</v>
      </c>
      <c r="C33" s="43">
        <v>2.0579999999999998</v>
      </c>
      <c r="D33" s="62"/>
      <c r="E33" s="43">
        <v>6.6559999999999997</v>
      </c>
      <c r="F33" s="43">
        <v>7.9649999999999999</v>
      </c>
      <c r="G33" s="143"/>
      <c r="H33" s="185">
        <v>141.65199999999999</v>
      </c>
      <c r="I33" s="185">
        <v>150.113</v>
      </c>
      <c r="W33" s="16"/>
      <c r="X33" s="16"/>
    </row>
    <row r="34" spans="1:24" ht="15" customHeight="1" x14ac:dyDescent="0.25">
      <c r="A34" s="19">
        <v>2049</v>
      </c>
      <c r="B34" s="43">
        <v>1.829</v>
      </c>
      <c r="C34" s="43">
        <v>2.0910000000000002</v>
      </c>
      <c r="D34" s="62"/>
      <c r="E34" s="43">
        <v>6.7489999999999997</v>
      </c>
      <c r="F34" s="43">
        <v>8.1129999999999995</v>
      </c>
      <c r="G34" s="143"/>
      <c r="H34" s="185">
        <v>143.63300000000001</v>
      </c>
      <c r="I34" s="185">
        <v>153.018</v>
      </c>
      <c r="W34" s="16"/>
      <c r="X34" s="16"/>
    </row>
    <row r="35" spans="1:24" ht="15" customHeight="1" x14ac:dyDescent="0.25">
      <c r="A35" s="19">
        <v>2050</v>
      </c>
      <c r="B35" s="43">
        <v>1.8169999999999999</v>
      </c>
      <c r="C35" s="43">
        <v>2.0950000000000002</v>
      </c>
      <c r="D35" s="62"/>
      <c r="E35" s="43">
        <v>6.8179999999999996</v>
      </c>
      <c r="F35" s="43">
        <v>8.2379999999999995</v>
      </c>
      <c r="G35" s="143"/>
      <c r="H35" s="185">
        <v>145.64699999999999</v>
      </c>
      <c r="I35" s="185">
        <v>155.982</v>
      </c>
      <c r="W35" s="16"/>
      <c r="X35" s="16"/>
    </row>
    <row r="36" spans="1:24" ht="15" customHeight="1" x14ac:dyDescent="0.25">
      <c r="A36" s="19">
        <v>2051</v>
      </c>
      <c r="B36" s="43">
        <v>1.8360000000000001</v>
      </c>
      <c r="C36" s="43">
        <v>2.1240000000000001</v>
      </c>
      <c r="D36" s="62"/>
      <c r="E36" s="43">
        <v>6.9249999999999998</v>
      </c>
      <c r="F36" s="43">
        <v>8.3940000000000001</v>
      </c>
      <c r="G36" s="143"/>
      <c r="H36" s="185">
        <v>147.721</v>
      </c>
      <c r="I36" s="185">
        <v>159.029</v>
      </c>
      <c r="W36" s="16"/>
      <c r="X36" s="16"/>
    </row>
    <row r="37" spans="1:24" ht="15" customHeight="1" x14ac:dyDescent="0.25">
      <c r="A37" s="19">
        <v>2052</v>
      </c>
      <c r="B37" s="43">
        <v>1.8680000000000001</v>
      </c>
      <c r="C37" s="43">
        <v>2.165</v>
      </c>
      <c r="D37" s="62"/>
      <c r="E37" s="43">
        <v>7.0449999999999999</v>
      </c>
      <c r="F37" s="43">
        <v>8.5649999999999995</v>
      </c>
      <c r="G37" s="143"/>
      <c r="H37" s="185">
        <v>149.857</v>
      </c>
      <c r="I37" s="185">
        <v>162.16300000000001</v>
      </c>
      <c r="W37" s="16"/>
      <c r="X37" s="16"/>
    </row>
    <row r="38" spans="1:24" ht="15" customHeight="1" x14ac:dyDescent="0.25">
      <c r="A38" s="19">
        <v>2053</v>
      </c>
      <c r="B38" s="43">
        <v>1.833</v>
      </c>
      <c r="C38" s="43">
        <v>2.1469999999999998</v>
      </c>
      <c r="D38" s="62"/>
      <c r="E38" s="43">
        <v>7.0949999999999998</v>
      </c>
      <c r="F38" s="43">
        <v>8.6760000000000002</v>
      </c>
      <c r="G38" s="143"/>
      <c r="H38" s="185">
        <v>151.97999999999999</v>
      </c>
      <c r="I38" s="185">
        <v>165.31399999999999</v>
      </c>
      <c r="W38" s="16"/>
      <c r="X38" s="16"/>
    </row>
    <row r="39" spans="1:24" ht="15" customHeight="1" x14ac:dyDescent="0.25">
      <c r="A39" s="19">
        <v>2054</v>
      </c>
      <c r="B39" s="43">
        <v>1.857</v>
      </c>
      <c r="C39" s="43">
        <v>2.1779999999999999</v>
      </c>
      <c r="D39" s="62"/>
      <c r="E39" s="43">
        <v>7.2</v>
      </c>
      <c r="F39" s="43">
        <v>8.8350000000000009</v>
      </c>
      <c r="G39" s="143"/>
      <c r="H39" s="176">
        <v>154.14400000000001</v>
      </c>
      <c r="I39" s="185">
        <v>168.524</v>
      </c>
      <c r="W39" s="16"/>
      <c r="X39" s="16"/>
    </row>
    <row r="40" spans="1:24" ht="15" customHeight="1" x14ac:dyDescent="0.25">
      <c r="A40" s="19">
        <v>2055</v>
      </c>
      <c r="B40" s="43">
        <v>1.865</v>
      </c>
      <c r="C40" s="43">
        <v>2.2010000000000001</v>
      </c>
      <c r="D40" s="62"/>
      <c r="E40" s="43">
        <v>7.2889999999999997</v>
      </c>
      <c r="F40" s="43">
        <v>8.9909999999999997</v>
      </c>
      <c r="G40" s="143"/>
      <c r="H40" s="185">
        <v>156.327</v>
      </c>
      <c r="I40" s="185">
        <v>171.785</v>
      </c>
      <c r="J40" s="5"/>
      <c r="W40" s="16"/>
      <c r="X40" s="16"/>
    </row>
    <row r="41" spans="1:24" ht="15" customHeight="1" x14ac:dyDescent="0.25">
      <c r="A41" s="160"/>
      <c r="B41" s="7"/>
      <c r="C41" s="7"/>
      <c r="D41" s="7"/>
      <c r="E41" s="7"/>
      <c r="F41" s="7"/>
      <c r="G41" s="121"/>
      <c r="H41" s="122"/>
      <c r="I41" s="122"/>
      <c r="N41" s="4"/>
      <c r="O41" s="4"/>
      <c r="W41" s="16"/>
      <c r="X41" s="16"/>
    </row>
    <row r="43" spans="1:24" ht="15" customHeight="1" x14ac:dyDescent="0.25">
      <c r="A43" s="201" t="s">
        <v>26</v>
      </c>
      <c r="B43" s="201"/>
      <c r="C43" s="201"/>
      <c r="D43" s="201"/>
      <c r="E43" s="201"/>
      <c r="F43" s="201"/>
      <c r="G43" s="201"/>
      <c r="H43" s="201"/>
      <c r="I43" s="201"/>
    </row>
    <row r="44" spans="1:24" ht="34.5" customHeight="1" x14ac:dyDescent="0.25">
      <c r="A44" s="199" t="s">
        <v>116</v>
      </c>
      <c r="B44" s="199"/>
      <c r="C44" s="199"/>
      <c r="D44" s="199"/>
      <c r="E44" s="199"/>
      <c r="F44" s="199"/>
      <c r="G44" s="199"/>
      <c r="H44" s="199"/>
      <c r="I44" s="199"/>
    </row>
    <row r="45" spans="1:24" ht="27.75" customHeight="1" x14ac:dyDescent="0.25">
      <c r="A45" s="199" t="s">
        <v>117</v>
      </c>
      <c r="B45" s="199"/>
      <c r="C45" s="199"/>
      <c r="D45" s="199"/>
      <c r="E45" s="199"/>
      <c r="F45" s="199"/>
      <c r="G45" s="199"/>
      <c r="H45" s="199"/>
      <c r="I45" s="199"/>
    </row>
    <row r="46" spans="1:24" ht="15" customHeight="1" x14ac:dyDescent="0.25">
      <c r="A46" s="68"/>
      <c r="B46" s="68"/>
      <c r="C46" s="68"/>
      <c r="D46" s="68"/>
      <c r="E46" s="68"/>
      <c r="F46" s="68"/>
      <c r="G46" s="68"/>
      <c r="H46" s="68"/>
      <c r="I46" s="68"/>
    </row>
    <row r="47" spans="1:24" ht="15" customHeight="1" x14ac:dyDescent="0.25">
      <c r="A47" s="156"/>
      <c r="B47" s="156"/>
      <c r="C47" s="156"/>
      <c r="D47" s="156"/>
      <c r="E47" s="156"/>
      <c r="F47" s="156"/>
      <c r="G47" s="156"/>
      <c r="H47" s="156"/>
      <c r="I47" s="156"/>
    </row>
    <row r="48" spans="1:24" ht="15" customHeight="1" x14ac:dyDescent="0.25">
      <c r="A48" s="186" t="s">
        <v>23</v>
      </c>
      <c r="E48" s="123"/>
      <c r="F48" s="123"/>
      <c r="H48" s="64"/>
      <c r="I48" s="64"/>
    </row>
    <row r="49" spans="1:9" ht="15" customHeight="1" x14ac:dyDescent="0.25">
      <c r="A49" s="64"/>
      <c r="E49" s="124"/>
      <c r="F49" s="124"/>
      <c r="H49" s="64"/>
      <c r="I49" s="64"/>
    </row>
    <row r="50" spans="1:9" ht="15" customHeight="1" x14ac:dyDescent="0.25">
      <c r="A50" s="127"/>
      <c r="B50" s="127"/>
      <c r="C50" s="127"/>
      <c r="D50" s="127"/>
      <c r="E50" s="123"/>
      <c r="F50" s="124"/>
      <c r="H50" s="64"/>
      <c r="I50" s="64"/>
    </row>
    <row r="51" spans="1:9" ht="15" customHeight="1" x14ac:dyDescent="0.25">
      <c r="A51" s="65"/>
      <c r="E51" s="65"/>
      <c r="F51" s="65"/>
      <c r="H51" s="65"/>
      <c r="I51" s="65"/>
    </row>
    <row r="52" spans="1:9" ht="15" customHeight="1" x14ac:dyDescent="0.25">
      <c r="A52" s="65"/>
      <c r="E52" s="65"/>
      <c r="F52" s="65"/>
      <c r="H52" s="65"/>
      <c r="I52" s="65"/>
    </row>
  </sheetData>
  <mergeCells count="7">
    <mergeCell ref="A44:I44"/>
    <mergeCell ref="A45:I45"/>
    <mergeCell ref="A5:I5"/>
    <mergeCell ref="B8:C8"/>
    <mergeCell ref="E8:F8"/>
    <mergeCell ref="H8:I8"/>
    <mergeCell ref="A43:I43"/>
  </mergeCells>
  <hyperlinks>
    <hyperlink ref="A48" location="Contents!A1" display="Back to Table of Contents" xr:uid="{9299C846-522E-784A-8143-48A2F3DC8939}"/>
    <hyperlink ref="A2" r:id="rId1" xr:uid="{451ECC20-D04F-334C-AD24-6C40A0382421}"/>
  </hyperlinks>
  <pageMargins left="0.7" right="0.7" top="0.75" bottom="0.75" header="0.3" footer="0.3"/>
  <pageSetup scale="57" orientation="portrait" horizontalDpi="1200"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EB169-A1A9-B34E-AAD3-F5EB0726C96E}">
  <sheetPr codeName="Sheet22">
    <pageSetUpPr fitToPage="1"/>
  </sheetPr>
  <dimension ref="A1:K48"/>
  <sheetViews>
    <sheetView zoomScaleNormal="100" workbookViewId="0"/>
  </sheetViews>
  <sheetFormatPr defaultColWidth="9.109375" defaultRowHeight="15" customHeight="1" x14ac:dyDescent="0.25"/>
  <cols>
    <col min="1" max="1" width="9.109375" style="19" customWidth="1"/>
    <col min="2" max="2" width="12.109375" style="20" customWidth="1"/>
    <col min="3" max="3" width="12.44140625" style="20" customWidth="1"/>
    <col min="4" max="4" width="3.44140625" style="20" customWidth="1"/>
    <col min="5" max="6" width="13" style="20" customWidth="1"/>
    <col min="7" max="8" width="9.109375" style="16" customWidth="1"/>
    <col min="9" max="9" width="18.44140625" style="16" customWidth="1"/>
    <col min="10" max="10" width="9.109375" style="16" customWidth="1"/>
    <col min="11" max="11" width="9.109375" style="13" customWidth="1"/>
    <col min="12" max="98" width="9.109375" style="16" customWidth="1"/>
    <col min="99" max="16384" width="9.109375" style="16"/>
  </cols>
  <sheetData>
    <row r="1" spans="1:11" ht="14.25" customHeight="1" x14ac:dyDescent="0.3">
      <c r="A1" s="24" t="s">
        <v>215</v>
      </c>
      <c r="B1" s="16"/>
      <c r="C1" s="16"/>
      <c r="D1" s="16"/>
      <c r="E1" s="16"/>
      <c r="F1" s="16"/>
      <c r="H1" s="60"/>
    </row>
    <row r="2" spans="1:11" ht="14.25" customHeight="1" x14ac:dyDescent="0.25">
      <c r="A2" s="186" t="s">
        <v>0</v>
      </c>
      <c r="B2" s="6"/>
      <c r="C2" s="16"/>
      <c r="D2" s="16"/>
      <c r="E2" s="6"/>
      <c r="F2" s="6"/>
    </row>
    <row r="3" spans="1:11" ht="14.25" customHeight="1" x14ac:dyDescent="0.25">
      <c r="A3" s="16"/>
      <c r="B3" s="16"/>
      <c r="C3" s="16"/>
      <c r="D3" s="16"/>
      <c r="E3" s="16"/>
      <c r="F3" s="16"/>
    </row>
    <row r="4" spans="1:11" ht="15" customHeight="1" x14ac:dyDescent="0.25">
      <c r="B4" s="153"/>
      <c r="C4" s="153"/>
      <c r="D4" s="153"/>
      <c r="E4" s="153"/>
      <c r="F4" s="153"/>
    </row>
    <row r="5" spans="1:11" ht="30" customHeight="1" x14ac:dyDescent="0.25">
      <c r="A5" s="194" t="s">
        <v>161</v>
      </c>
      <c r="B5" s="211"/>
      <c r="C5" s="211"/>
      <c r="D5" s="211"/>
      <c r="E5" s="211"/>
      <c r="F5" s="211"/>
    </row>
    <row r="6" spans="1:11" ht="15" customHeight="1" x14ac:dyDescent="0.25">
      <c r="A6" s="213" t="s">
        <v>49</v>
      </c>
      <c r="B6" s="217"/>
      <c r="C6" s="217"/>
      <c r="D6" s="21"/>
      <c r="E6" s="163"/>
      <c r="F6" s="163"/>
    </row>
    <row r="7" spans="1:11" ht="15" customHeight="1" x14ac:dyDescent="0.25">
      <c r="B7" s="16"/>
      <c r="C7" s="16"/>
      <c r="D7" s="16"/>
    </row>
    <row r="8" spans="1:11" ht="15" customHeight="1" x14ac:dyDescent="0.25">
      <c r="A8" s="16"/>
      <c r="B8" s="221" t="s">
        <v>70</v>
      </c>
      <c r="C8" s="221"/>
      <c r="D8" s="33"/>
      <c r="E8" s="221" t="s">
        <v>14</v>
      </c>
      <c r="F8" s="221"/>
    </row>
    <row r="9" spans="1:11" ht="32.25" customHeight="1" x14ac:dyDescent="0.25">
      <c r="A9" s="160"/>
      <c r="B9" s="164" t="s">
        <v>51</v>
      </c>
      <c r="C9" s="61" t="s">
        <v>52</v>
      </c>
      <c r="D9" s="164"/>
      <c r="E9" s="164" t="s">
        <v>51</v>
      </c>
      <c r="F9" s="61" t="s">
        <v>52</v>
      </c>
    </row>
    <row r="10" spans="1:11" ht="15.75" customHeight="1" x14ac:dyDescent="0.25">
      <c r="A10" s="19">
        <v>2025</v>
      </c>
      <c r="B10" s="35">
        <v>20.161000000000001</v>
      </c>
      <c r="C10" s="35">
        <v>19.914000000000001</v>
      </c>
      <c r="D10" s="62"/>
      <c r="E10" s="35">
        <v>3.16</v>
      </c>
      <c r="F10" s="35">
        <v>3.1949999999999998</v>
      </c>
      <c r="G10" s="58"/>
      <c r="H10" s="5"/>
      <c r="I10" s="13"/>
      <c r="K10" s="16"/>
    </row>
    <row r="11" spans="1:11" ht="15" customHeight="1" x14ac:dyDescent="0.25">
      <c r="A11" s="19">
        <v>2026</v>
      </c>
      <c r="B11" s="43">
        <v>20.047999999999998</v>
      </c>
      <c r="C11" s="35">
        <v>20.091999999999999</v>
      </c>
      <c r="D11" s="62"/>
      <c r="E11" s="35">
        <v>3.2229999999999999</v>
      </c>
      <c r="F11" s="35">
        <v>3.2570000000000001</v>
      </c>
      <c r="G11" s="58"/>
      <c r="K11" s="16"/>
    </row>
    <row r="12" spans="1:11" ht="15" customHeight="1" x14ac:dyDescent="0.25">
      <c r="A12" s="19">
        <v>2027</v>
      </c>
      <c r="B12" s="43">
        <v>20.12</v>
      </c>
      <c r="C12" s="35">
        <v>20.004999999999999</v>
      </c>
      <c r="D12" s="62"/>
      <c r="E12" s="35">
        <v>3.3050000000000002</v>
      </c>
      <c r="F12" s="35">
        <v>3.3250000000000002</v>
      </c>
      <c r="G12" s="58"/>
      <c r="K12" s="16"/>
    </row>
    <row r="13" spans="1:11" ht="15" customHeight="1" x14ac:dyDescent="0.25">
      <c r="A13" s="19">
        <v>2028</v>
      </c>
      <c r="B13" s="43">
        <v>19.957999999999998</v>
      </c>
      <c r="C13" s="35">
        <v>19.643999999999998</v>
      </c>
      <c r="D13" s="62"/>
      <c r="E13" s="35">
        <v>3.4489999999999998</v>
      </c>
      <c r="F13" s="35">
        <v>3.5129999999999999</v>
      </c>
      <c r="G13" s="58"/>
      <c r="K13" s="16"/>
    </row>
    <row r="14" spans="1:11" ht="15" customHeight="1" x14ac:dyDescent="0.25">
      <c r="A14" s="19">
        <v>2029</v>
      </c>
      <c r="B14" s="43">
        <v>20.248999999999999</v>
      </c>
      <c r="C14" s="35">
        <v>19.824000000000002</v>
      </c>
      <c r="D14" s="62"/>
      <c r="E14" s="35">
        <v>3.5590000000000002</v>
      </c>
      <c r="F14" s="35">
        <v>3.6779999999999999</v>
      </c>
      <c r="G14" s="58"/>
      <c r="K14" s="16"/>
    </row>
    <row r="15" spans="1:11" ht="15" customHeight="1" x14ac:dyDescent="0.25">
      <c r="A15" s="19">
        <v>2030</v>
      </c>
      <c r="B15" s="43">
        <v>20.228000000000002</v>
      </c>
      <c r="C15" s="35">
        <v>19.693999999999999</v>
      </c>
      <c r="D15" s="62"/>
      <c r="E15" s="35">
        <v>3.6480000000000001</v>
      </c>
      <c r="F15" s="35">
        <v>3.8290000000000002</v>
      </c>
      <c r="G15" s="58"/>
      <c r="K15" s="16"/>
    </row>
    <row r="16" spans="1:11" ht="15" customHeight="1" x14ac:dyDescent="0.25">
      <c r="A16" s="19">
        <v>2031</v>
      </c>
      <c r="B16" s="43">
        <v>20.242000000000001</v>
      </c>
      <c r="C16" s="35">
        <v>19.599</v>
      </c>
      <c r="D16" s="62"/>
      <c r="E16" s="35">
        <v>3.7490000000000001</v>
      </c>
      <c r="F16" s="35">
        <v>3.9889999999999999</v>
      </c>
      <c r="G16" s="58"/>
      <c r="K16" s="16"/>
    </row>
    <row r="17" spans="1:11" ht="15" customHeight="1" x14ac:dyDescent="0.25">
      <c r="A17" s="19">
        <v>2032</v>
      </c>
      <c r="B17" s="43">
        <v>20.286999999999999</v>
      </c>
      <c r="C17" s="35">
        <v>19.611000000000001</v>
      </c>
      <c r="D17" s="62"/>
      <c r="E17" s="35">
        <v>3.8570000000000002</v>
      </c>
      <c r="F17" s="35">
        <v>4.1470000000000002</v>
      </c>
      <c r="G17" s="58"/>
      <c r="K17" s="16"/>
    </row>
    <row r="18" spans="1:11" ht="15" customHeight="1" x14ac:dyDescent="0.25">
      <c r="A18" s="19">
        <v>2033</v>
      </c>
      <c r="B18" s="43">
        <v>20.312999999999999</v>
      </c>
      <c r="C18" s="35">
        <v>19.672000000000001</v>
      </c>
      <c r="D18" s="62"/>
      <c r="E18" s="35">
        <v>3.9359999999999999</v>
      </c>
      <c r="F18" s="35">
        <v>4.2690000000000001</v>
      </c>
      <c r="G18" s="58"/>
      <c r="K18" s="16"/>
    </row>
    <row r="19" spans="1:11" ht="15" customHeight="1" x14ac:dyDescent="0.25">
      <c r="A19" s="19">
        <v>2034</v>
      </c>
      <c r="B19" s="43">
        <v>20.318000000000001</v>
      </c>
      <c r="C19" s="35">
        <v>19.762</v>
      </c>
      <c r="D19" s="62"/>
      <c r="E19" s="35">
        <v>4.0010000000000003</v>
      </c>
      <c r="F19" s="35">
        <v>4.3890000000000002</v>
      </c>
      <c r="G19" s="58"/>
      <c r="K19" s="16"/>
    </row>
    <row r="20" spans="1:11" ht="15" customHeight="1" x14ac:dyDescent="0.25">
      <c r="A20" s="19">
        <v>2035</v>
      </c>
      <c r="B20" s="43">
        <v>20.364000000000001</v>
      </c>
      <c r="C20" s="35">
        <v>19.795000000000002</v>
      </c>
      <c r="D20" s="62"/>
      <c r="E20" s="35">
        <v>4.0570000000000004</v>
      </c>
      <c r="F20" s="35">
        <v>4.4859999999999998</v>
      </c>
      <c r="G20" s="58"/>
      <c r="K20" s="16"/>
    </row>
    <row r="21" spans="1:11" ht="15" customHeight="1" x14ac:dyDescent="0.25">
      <c r="A21" s="19">
        <v>2036</v>
      </c>
      <c r="B21" s="43">
        <v>20.366</v>
      </c>
      <c r="C21" s="35">
        <v>19.849</v>
      </c>
      <c r="D21" s="62"/>
      <c r="E21" s="35">
        <v>4.0979999999999999</v>
      </c>
      <c r="F21" s="35">
        <v>4.5910000000000002</v>
      </c>
      <c r="G21" s="58"/>
      <c r="K21" s="16"/>
    </row>
    <row r="22" spans="1:11" ht="15" customHeight="1" x14ac:dyDescent="0.25">
      <c r="A22" s="19">
        <v>2037</v>
      </c>
      <c r="B22" s="43">
        <v>20.376000000000001</v>
      </c>
      <c r="C22" s="35">
        <v>19.847999999999999</v>
      </c>
      <c r="D22" s="62"/>
      <c r="E22" s="35">
        <v>4.1440000000000001</v>
      </c>
      <c r="F22" s="35">
        <v>4.6870000000000003</v>
      </c>
      <c r="G22" s="58"/>
      <c r="K22" s="16"/>
    </row>
    <row r="23" spans="1:11" ht="15" customHeight="1" x14ac:dyDescent="0.25">
      <c r="A23" s="19">
        <v>2038</v>
      </c>
      <c r="B23" s="43">
        <v>20.425999999999998</v>
      </c>
      <c r="C23" s="35">
        <v>19.902999999999999</v>
      </c>
      <c r="D23" s="62"/>
      <c r="E23" s="35">
        <v>4.1890000000000001</v>
      </c>
      <c r="F23" s="35">
        <v>4.7880000000000003</v>
      </c>
      <c r="G23" s="58"/>
      <c r="K23" s="16"/>
    </row>
    <row r="24" spans="1:11" ht="15" customHeight="1" x14ac:dyDescent="0.25">
      <c r="A24" s="19">
        <v>2039</v>
      </c>
      <c r="B24" s="43">
        <v>20.466000000000001</v>
      </c>
      <c r="C24" s="35">
        <v>19.942</v>
      </c>
      <c r="D24" s="62"/>
      <c r="E24" s="35">
        <v>4.2320000000000002</v>
      </c>
      <c r="F24" s="35">
        <v>4.8869999999999996</v>
      </c>
      <c r="G24" s="58"/>
      <c r="K24" s="16"/>
    </row>
    <row r="25" spans="1:11" ht="15" customHeight="1" x14ac:dyDescent="0.25">
      <c r="A25" s="19">
        <v>2040</v>
      </c>
      <c r="B25" s="43">
        <v>20.472999999999999</v>
      </c>
      <c r="C25" s="35">
        <v>19.9497</v>
      </c>
      <c r="D25" s="62"/>
      <c r="E25" s="35">
        <v>4.2830000000000004</v>
      </c>
      <c r="F25" s="35">
        <v>4.9889999999999999</v>
      </c>
      <c r="G25" s="58"/>
      <c r="K25" s="16"/>
    </row>
    <row r="26" spans="1:11" ht="15" customHeight="1" x14ac:dyDescent="0.25">
      <c r="A26" s="19">
        <v>2041</v>
      </c>
      <c r="B26" s="43">
        <v>20.504999999999999</v>
      </c>
      <c r="C26" s="35">
        <v>20.004000000000001</v>
      </c>
      <c r="D26" s="62"/>
      <c r="E26" s="35">
        <v>4.343</v>
      </c>
      <c r="F26" s="35">
        <v>5.0970000000000004</v>
      </c>
      <c r="G26" s="58"/>
      <c r="K26" s="16"/>
    </row>
    <row r="27" spans="1:11" ht="15" customHeight="1" x14ac:dyDescent="0.25">
      <c r="A27" s="19">
        <v>2042</v>
      </c>
      <c r="B27" s="43">
        <v>20.594000000000001</v>
      </c>
      <c r="C27" s="35">
        <v>20.11</v>
      </c>
      <c r="D27" s="62"/>
      <c r="E27" s="35">
        <v>4.4109999999999996</v>
      </c>
      <c r="F27" s="35">
        <v>5.2169999999999996</v>
      </c>
      <c r="G27" s="58"/>
      <c r="K27" s="16"/>
    </row>
    <row r="28" spans="1:11" ht="15" customHeight="1" x14ac:dyDescent="0.25">
      <c r="A28" s="19">
        <v>2043</v>
      </c>
      <c r="B28" s="43">
        <v>20.629000000000001</v>
      </c>
      <c r="C28" s="35">
        <v>20.166</v>
      </c>
      <c r="D28" s="62"/>
      <c r="E28" s="35">
        <v>4.4800000000000004</v>
      </c>
      <c r="F28" s="35">
        <v>5.3339999999999996</v>
      </c>
      <c r="G28" s="58"/>
      <c r="K28" s="16"/>
    </row>
    <row r="29" spans="1:11" ht="15" customHeight="1" x14ac:dyDescent="0.25">
      <c r="A29" s="19">
        <v>2044</v>
      </c>
      <c r="B29" s="43">
        <v>20.675999999999998</v>
      </c>
      <c r="C29" s="35">
        <v>20.231999999999999</v>
      </c>
      <c r="D29" s="62"/>
      <c r="E29" s="35">
        <v>4.5460000000000003</v>
      </c>
      <c r="F29" s="35">
        <v>5.4429999999999996</v>
      </c>
      <c r="G29" s="58"/>
      <c r="K29" s="16"/>
    </row>
    <row r="30" spans="1:11" ht="15" customHeight="1" x14ac:dyDescent="0.25">
      <c r="A30" s="19">
        <v>2045</v>
      </c>
      <c r="B30" s="43">
        <v>20.715</v>
      </c>
      <c r="C30" s="35">
        <v>20.289000000000001</v>
      </c>
      <c r="D30" s="62"/>
      <c r="E30" s="35">
        <v>4.6150000000000002</v>
      </c>
      <c r="F30" s="35">
        <v>5.5540000000000003</v>
      </c>
      <c r="G30" s="58"/>
      <c r="K30" s="16"/>
    </row>
    <row r="31" spans="1:11" ht="15" customHeight="1" x14ac:dyDescent="0.25">
      <c r="A31" s="19">
        <v>2046</v>
      </c>
      <c r="B31" s="43">
        <v>20.76</v>
      </c>
      <c r="C31" s="35">
        <v>20.353000000000002</v>
      </c>
      <c r="D31" s="62"/>
      <c r="E31" s="35">
        <v>4.6879999999999997</v>
      </c>
      <c r="F31" s="35">
        <v>5.6760000000000002</v>
      </c>
      <c r="G31" s="58"/>
      <c r="K31" s="16"/>
    </row>
    <row r="32" spans="1:11" ht="15" customHeight="1" x14ac:dyDescent="0.25">
      <c r="A32" s="19">
        <v>2047</v>
      </c>
      <c r="B32" s="43">
        <v>20.81</v>
      </c>
      <c r="C32" s="35">
        <v>20.420999999999999</v>
      </c>
      <c r="D32" s="62"/>
      <c r="E32" s="35">
        <v>4.7640000000000002</v>
      </c>
      <c r="F32" s="35">
        <v>5.7919999999999998</v>
      </c>
      <c r="G32" s="58"/>
      <c r="K32" s="16"/>
    </row>
    <row r="33" spans="1:11" ht="15" customHeight="1" x14ac:dyDescent="0.25">
      <c r="A33" s="19">
        <v>2048</v>
      </c>
      <c r="B33" s="43">
        <v>20.855</v>
      </c>
      <c r="C33" s="35">
        <v>20.484999999999999</v>
      </c>
      <c r="D33" s="62"/>
      <c r="E33" s="35">
        <v>4.8419999999999996</v>
      </c>
      <c r="F33" s="35">
        <v>5.907</v>
      </c>
      <c r="G33" s="58"/>
      <c r="K33" s="16"/>
    </row>
    <row r="34" spans="1:11" s="5" customFormat="1" ht="15" customHeight="1" x14ac:dyDescent="0.25">
      <c r="A34" s="19">
        <v>2049</v>
      </c>
      <c r="B34" s="43">
        <v>20.896999999999998</v>
      </c>
      <c r="C34" s="35">
        <v>20.545999999999999</v>
      </c>
      <c r="D34" s="62"/>
      <c r="E34" s="35">
        <v>4.92</v>
      </c>
      <c r="F34" s="35">
        <v>6.0220000000000002</v>
      </c>
      <c r="G34" s="58"/>
    </row>
    <row r="35" spans="1:11" ht="15" customHeight="1" x14ac:dyDescent="0.25">
      <c r="A35" s="19">
        <v>2050</v>
      </c>
      <c r="B35" s="43">
        <v>20.917999999999999</v>
      </c>
      <c r="C35" s="35">
        <v>20.584</v>
      </c>
      <c r="D35" s="62"/>
      <c r="E35" s="35">
        <v>5.0010000000000003</v>
      </c>
      <c r="F35" s="35">
        <v>6.1429999999999998</v>
      </c>
      <c r="G35" s="58"/>
      <c r="K35" s="16"/>
    </row>
    <row r="36" spans="1:11" ht="15" customHeight="1" x14ac:dyDescent="0.25">
      <c r="A36" s="19">
        <v>2051</v>
      </c>
      <c r="B36" s="43">
        <v>20.984000000000002</v>
      </c>
      <c r="C36" s="35">
        <v>20.667999999999999</v>
      </c>
      <c r="D36" s="62"/>
      <c r="E36" s="35">
        <v>5.0890000000000004</v>
      </c>
      <c r="F36" s="35">
        <v>6.2690000000000001</v>
      </c>
      <c r="G36" s="58"/>
      <c r="K36" s="16"/>
    </row>
    <row r="37" spans="1:11" ht="15" customHeight="1" x14ac:dyDescent="0.25">
      <c r="A37" s="19">
        <v>2052</v>
      </c>
      <c r="B37" s="43">
        <v>21.064</v>
      </c>
      <c r="C37" s="35">
        <v>20.765999999999998</v>
      </c>
      <c r="D37" s="62"/>
      <c r="E37" s="35">
        <v>5.1769999999999996</v>
      </c>
      <c r="F37" s="35">
        <v>6.4</v>
      </c>
      <c r="G37" s="58"/>
      <c r="K37" s="16"/>
    </row>
    <row r="38" spans="1:11" ht="15" customHeight="1" x14ac:dyDescent="0.25">
      <c r="A38" s="19">
        <v>2053</v>
      </c>
      <c r="B38" s="43">
        <v>21.073</v>
      </c>
      <c r="C38" s="35">
        <v>20.794</v>
      </c>
      <c r="D38" s="62"/>
      <c r="E38" s="35">
        <v>5.2619999999999996</v>
      </c>
      <c r="F38" s="35">
        <v>6.5289999999999999</v>
      </c>
      <c r="G38" s="58"/>
      <c r="K38" s="16"/>
    </row>
    <row r="39" spans="1:11" ht="15" customHeight="1" x14ac:dyDescent="0.25">
      <c r="A39" s="19">
        <v>2054</v>
      </c>
      <c r="B39" s="43">
        <v>21.146000000000001</v>
      </c>
      <c r="C39" s="35">
        <v>20.882000000000001</v>
      </c>
      <c r="D39" s="62"/>
      <c r="E39" s="35">
        <v>5.343</v>
      </c>
      <c r="F39" s="35">
        <v>6.6580000000000004</v>
      </c>
      <c r="G39" s="58"/>
      <c r="K39" s="16"/>
    </row>
    <row r="40" spans="1:11" ht="15" customHeight="1" x14ac:dyDescent="0.25">
      <c r="A40" s="19">
        <v>2055</v>
      </c>
      <c r="B40" s="43">
        <v>21.187000000000001</v>
      </c>
      <c r="C40" s="35">
        <v>20.943000000000001</v>
      </c>
      <c r="D40" s="62"/>
      <c r="E40" s="35">
        <v>5.4240000000000004</v>
      </c>
      <c r="F40" s="35">
        <v>6.79</v>
      </c>
      <c r="G40" s="58"/>
      <c r="K40" s="16"/>
    </row>
    <row r="41" spans="1:11" ht="15" customHeight="1" x14ac:dyDescent="0.25">
      <c r="A41" s="160"/>
      <c r="B41" s="7"/>
      <c r="C41" s="7"/>
      <c r="D41" s="7"/>
      <c r="E41" s="7"/>
      <c r="F41" s="7"/>
      <c r="G41" s="13"/>
      <c r="I41" s="5"/>
    </row>
    <row r="43" spans="1:11" ht="15" customHeight="1" x14ac:dyDescent="0.25">
      <c r="A43" s="197" t="s">
        <v>73</v>
      </c>
      <c r="B43" s="197"/>
      <c r="C43" s="197"/>
      <c r="D43" s="197"/>
      <c r="E43" s="197"/>
      <c r="F43" s="197"/>
    </row>
    <row r="45" spans="1:11" ht="15" customHeight="1" x14ac:dyDescent="0.25">
      <c r="A45" s="166"/>
      <c r="B45" s="166"/>
      <c r="C45" s="166"/>
      <c r="D45" s="166"/>
      <c r="E45" s="166"/>
      <c r="F45" s="166"/>
    </row>
    <row r="46" spans="1:11" ht="15" customHeight="1" x14ac:dyDescent="0.25">
      <c r="A46" s="186" t="s">
        <v>23</v>
      </c>
    </row>
    <row r="48" spans="1:11" ht="15" customHeight="1" x14ac:dyDescent="0.25">
      <c r="A48" s="127"/>
      <c r="B48" s="127"/>
      <c r="C48" s="127"/>
      <c r="D48" s="127"/>
    </row>
  </sheetData>
  <mergeCells count="5">
    <mergeCell ref="A5:F5"/>
    <mergeCell ref="A6:C6"/>
    <mergeCell ref="B8:C8"/>
    <mergeCell ref="E8:F8"/>
    <mergeCell ref="A43:F43"/>
  </mergeCells>
  <hyperlinks>
    <hyperlink ref="A46" location="Contents!A1" display="Back to Table of Contents" xr:uid="{8DC6AC51-F3DF-D649-810C-194214EBD658}"/>
    <hyperlink ref="A2" r:id="rId1" xr:uid="{FBBA27E5-70A4-BA4B-9043-1133FC8C169E}"/>
  </hyperlinks>
  <pageMargins left="0.7" right="0.7" top="0.75" bottom="0.75" header="0.3" footer="0.3"/>
  <pageSetup scale="74" orientation="portrait" horizontalDpi="1200" verticalDpi="1200"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991E3-7A36-084B-AD73-5D213759B7A0}">
  <sheetPr codeName="Sheet23">
    <pageSetUpPr fitToPage="1"/>
  </sheetPr>
  <dimension ref="A1:F47"/>
  <sheetViews>
    <sheetView zoomScaleNormal="100" workbookViewId="0"/>
  </sheetViews>
  <sheetFormatPr defaultColWidth="9.109375" defaultRowHeight="15" customHeight="1" x14ac:dyDescent="0.25"/>
  <cols>
    <col min="1" max="1" width="12.44140625" style="19" customWidth="1"/>
    <col min="2" max="2" width="16.33203125" style="20" customWidth="1"/>
    <col min="3" max="3" width="18.77734375" style="20" customWidth="1"/>
    <col min="4" max="95" width="9.109375" style="16" customWidth="1"/>
    <col min="96" max="16384" width="9.109375" style="16"/>
  </cols>
  <sheetData>
    <row r="1" spans="1:6" ht="14.25" customHeight="1" x14ac:dyDescent="0.3">
      <c r="A1" s="24" t="s">
        <v>215</v>
      </c>
      <c r="B1" s="16"/>
      <c r="C1" s="16"/>
      <c r="E1" s="60"/>
    </row>
    <row r="2" spans="1:6" ht="14.25" customHeight="1" x14ac:dyDescent="0.25">
      <c r="A2" s="186" t="s">
        <v>0</v>
      </c>
      <c r="B2" s="6"/>
      <c r="C2" s="16"/>
    </row>
    <row r="3" spans="1:6" ht="14.25" customHeight="1" x14ac:dyDescent="0.25">
      <c r="A3" s="16"/>
      <c r="B3" s="16"/>
      <c r="C3" s="16"/>
    </row>
    <row r="4" spans="1:6" ht="15" customHeight="1" x14ac:dyDescent="0.25">
      <c r="B4" s="153"/>
      <c r="C4" s="153"/>
    </row>
    <row r="5" spans="1:6" ht="30" customHeight="1" x14ac:dyDescent="0.25">
      <c r="A5" s="194" t="s">
        <v>162</v>
      </c>
      <c r="B5" s="194"/>
      <c r="C5" s="194"/>
      <c r="D5" s="159"/>
      <c r="F5" s="159"/>
    </row>
    <row r="6" spans="1:6" ht="15" customHeight="1" x14ac:dyDescent="0.25">
      <c r="A6" s="213" t="s">
        <v>49</v>
      </c>
      <c r="B6" s="217"/>
      <c r="C6" s="217"/>
    </row>
    <row r="7" spans="1:6" ht="15" customHeight="1" x14ac:dyDescent="0.25">
      <c r="B7" s="16"/>
      <c r="C7" s="16"/>
    </row>
    <row r="8" spans="1:6" ht="30" customHeight="1" x14ac:dyDescent="0.25">
      <c r="A8" s="160"/>
      <c r="B8" s="164" t="s">
        <v>51</v>
      </c>
      <c r="C8" s="61" t="s">
        <v>52</v>
      </c>
    </row>
    <row r="9" spans="1:6" ht="15.75" customHeight="1" x14ac:dyDescent="0.25">
      <c r="A9" s="19">
        <v>2025</v>
      </c>
      <c r="B9" s="43">
        <v>17.132000000000001</v>
      </c>
      <c r="C9" s="43">
        <v>17.241</v>
      </c>
      <c r="D9" s="5"/>
      <c r="E9" s="5"/>
    </row>
    <row r="10" spans="1:6" ht="15" customHeight="1" x14ac:dyDescent="0.25">
      <c r="A10" s="19">
        <v>2026</v>
      </c>
      <c r="B10" s="43">
        <v>17.805</v>
      </c>
      <c r="C10" s="43">
        <v>17.541</v>
      </c>
      <c r="D10" s="5"/>
    </row>
    <row r="11" spans="1:6" ht="15" customHeight="1" x14ac:dyDescent="0.25">
      <c r="A11" s="19">
        <v>2027</v>
      </c>
      <c r="B11" s="43">
        <v>18.239999999999998</v>
      </c>
      <c r="C11" s="43">
        <v>17.664999999999999</v>
      </c>
      <c r="D11" s="5"/>
    </row>
    <row r="12" spans="1:6" ht="15" customHeight="1" x14ac:dyDescent="0.25">
      <c r="A12" s="19">
        <v>2028</v>
      </c>
      <c r="B12" s="43">
        <v>18.091000000000001</v>
      </c>
      <c r="C12" s="43">
        <v>17.513999999999999</v>
      </c>
      <c r="D12" s="5"/>
    </row>
    <row r="13" spans="1:6" ht="15" customHeight="1" x14ac:dyDescent="0.25">
      <c r="A13" s="19">
        <v>2029</v>
      </c>
      <c r="B13" s="43">
        <v>17.946999999999999</v>
      </c>
      <c r="C13" s="43">
        <v>17.55</v>
      </c>
      <c r="D13" s="5"/>
    </row>
    <row r="14" spans="1:6" ht="15" customHeight="1" x14ac:dyDescent="0.25">
      <c r="A14" s="19">
        <v>2030</v>
      </c>
      <c r="B14" s="43">
        <v>17.995999999999999</v>
      </c>
      <c r="C14" s="43">
        <v>17.638000000000002</v>
      </c>
      <c r="D14" s="5"/>
    </row>
    <row r="15" spans="1:6" ht="15" customHeight="1" x14ac:dyDescent="0.25">
      <c r="A15" s="19">
        <v>2031</v>
      </c>
      <c r="B15" s="43">
        <v>18.084</v>
      </c>
      <c r="C15" s="43">
        <v>17.699000000000002</v>
      </c>
      <c r="D15" s="5"/>
    </row>
    <row r="16" spans="1:6" ht="15" customHeight="1" x14ac:dyDescent="0.25">
      <c r="A16" s="19">
        <v>2032</v>
      </c>
      <c r="B16" s="43">
        <v>18.103999999999999</v>
      </c>
      <c r="C16" s="43">
        <v>17.702000000000002</v>
      </c>
      <c r="D16" s="5"/>
    </row>
    <row r="17" spans="1:4" ht="15" customHeight="1" x14ac:dyDescent="0.25">
      <c r="A17" s="19">
        <v>2033</v>
      </c>
      <c r="B17" s="43">
        <v>18.163</v>
      </c>
      <c r="C17" s="43">
        <v>17.684999999999999</v>
      </c>
      <c r="D17" s="5"/>
    </row>
    <row r="18" spans="1:4" ht="15" customHeight="1" x14ac:dyDescent="0.25">
      <c r="A18" s="19">
        <v>2034</v>
      </c>
      <c r="B18" s="43">
        <v>18.21</v>
      </c>
      <c r="C18" s="43">
        <v>17.681000000000001</v>
      </c>
      <c r="D18" s="5"/>
    </row>
    <row r="19" spans="1:4" ht="15" customHeight="1" x14ac:dyDescent="0.25">
      <c r="A19" s="19">
        <v>2035</v>
      </c>
      <c r="B19" s="43">
        <v>18.28</v>
      </c>
      <c r="C19" s="43">
        <v>17.710999999999999</v>
      </c>
      <c r="D19" s="5"/>
    </row>
    <row r="20" spans="1:4" ht="15" customHeight="1" x14ac:dyDescent="0.25">
      <c r="A20" s="19">
        <v>2036</v>
      </c>
      <c r="B20" s="43">
        <v>18.352</v>
      </c>
      <c r="C20" s="43">
        <v>17.77</v>
      </c>
      <c r="D20" s="5"/>
    </row>
    <row r="21" spans="1:4" ht="15" customHeight="1" x14ac:dyDescent="0.25">
      <c r="A21" s="19">
        <v>2037</v>
      </c>
      <c r="B21" s="43">
        <v>18.442</v>
      </c>
      <c r="C21" s="43">
        <v>17.826000000000001</v>
      </c>
      <c r="D21" s="5"/>
    </row>
    <row r="22" spans="1:4" ht="15" customHeight="1" x14ac:dyDescent="0.25">
      <c r="A22" s="19">
        <v>2038</v>
      </c>
      <c r="B22" s="43">
        <v>18.504999999999999</v>
      </c>
      <c r="C22" s="43">
        <v>17.88</v>
      </c>
      <c r="D22" s="5"/>
    </row>
    <row r="23" spans="1:4" ht="15" customHeight="1" x14ac:dyDescent="0.25">
      <c r="A23" s="19">
        <v>2039</v>
      </c>
      <c r="B23" s="43">
        <v>18.577999999999999</v>
      </c>
      <c r="C23" s="43">
        <v>17.945</v>
      </c>
      <c r="D23" s="5"/>
    </row>
    <row r="24" spans="1:4" ht="15" customHeight="1" x14ac:dyDescent="0.25">
      <c r="A24" s="19">
        <v>2040</v>
      </c>
      <c r="B24" s="43">
        <v>18.641999999999999</v>
      </c>
      <c r="C24" s="43">
        <v>17.998000000000001</v>
      </c>
      <c r="D24" s="5"/>
    </row>
    <row r="25" spans="1:4" ht="15" customHeight="1" x14ac:dyDescent="0.25">
      <c r="A25" s="19">
        <v>2041</v>
      </c>
      <c r="B25" s="43">
        <v>18.712</v>
      </c>
      <c r="C25" s="43">
        <v>18.059999999999999</v>
      </c>
      <c r="D25" s="5"/>
    </row>
    <row r="26" spans="1:4" ht="15" customHeight="1" x14ac:dyDescent="0.25">
      <c r="A26" s="19">
        <v>2042</v>
      </c>
      <c r="B26" s="43">
        <v>18.757000000000001</v>
      </c>
      <c r="C26" s="43">
        <v>18.12</v>
      </c>
      <c r="D26" s="5"/>
    </row>
    <row r="27" spans="1:4" ht="15" customHeight="1" x14ac:dyDescent="0.25">
      <c r="A27" s="19">
        <v>2043</v>
      </c>
      <c r="B27" s="43">
        <v>18.821000000000002</v>
      </c>
      <c r="C27" s="43">
        <v>18.183</v>
      </c>
      <c r="D27" s="5"/>
    </row>
    <row r="28" spans="1:4" ht="15" customHeight="1" x14ac:dyDescent="0.25">
      <c r="A28" s="19">
        <v>2044</v>
      </c>
      <c r="B28" s="43">
        <v>18.861000000000001</v>
      </c>
      <c r="C28" s="43">
        <v>18.222999999999999</v>
      </c>
      <c r="D28" s="5"/>
    </row>
    <row r="29" spans="1:4" ht="15" customHeight="1" x14ac:dyDescent="0.25">
      <c r="A29" s="19">
        <v>2045</v>
      </c>
      <c r="B29" s="43">
        <v>18.902000000000001</v>
      </c>
      <c r="C29" s="43">
        <v>18.268000000000001</v>
      </c>
      <c r="D29" s="5"/>
    </row>
    <row r="30" spans="1:4" ht="15" customHeight="1" x14ac:dyDescent="0.25">
      <c r="A30" s="19">
        <v>2046</v>
      </c>
      <c r="B30" s="43">
        <v>18.948</v>
      </c>
      <c r="C30" s="43">
        <v>18.327999999999999</v>
      </c>
      <c r="D30" s="5"/>
    </row>
    <row r="31" spans="1:4" ht="15" customHeight="1" x14ac:dyDescent="0.25">
      <c r="A31" s="19">
        <v>2047</v>
      </c>
      <c r="B31" s="43">
        <v>18.991</v>
      </c>
      <c r="C31" s="43">
        <v>18.373999999999999</v>
      </c>
      <c r="D31" s="5"/>
    </row>
    <row r="32" spans="1:4" ht="15" customHeight="1" x14ac:dyDescent="0.25">
      <c r="A32" s="19">
        <v>2048</v>
      </c>
      <c r="B32" s="43">
        <v>19.041</v>
      </c>
      <c r="C32" s="43">
        <v>18.427</v>
      </c>
      <c r="D32" s="5"/>
    </row>
    <row r="33" spans="1:4" ht="15" customHeight="1" x14ac:dyDescent="0.25">
      <c r="A33" s="19">
        <v>2049</v>
      </c>
      <c r="B33" s="43">
        <v>19.068000000000001</v>
      </c>
      <c r="C33" s="43">
        <v>18.454999999999998</v>
      </c>
      <c r="D33" s="5"/>
    </row>
    <row r="34" spans="1:4" ht="15" customHeight="1" x14ac:dyDescent="0.25">
      <c r="A34" s="19">
        <v>2050</v>
      </c>
      <c r="B34" s="43">
        <v>19.100999999999999</v>
      </c>
      <c r="C34" s="43">
        <v>18.489000000000001</v>
      </c>
      <c r="D34" s="5"/>
    </row>
    <row r="35" spans="1:4" ht="15" customHeight="1" x14ac:dyDescent="0.25">
      <c r="A35" s="19">
        <v>2051</v>
      </c>
      <c r="B35" s="43">
        <v>19.148</v>
      </c>
      <c r="C35" s="43">
        <v>18.544</v>
      </c>
      <c r="D35" s="5"/>
    </row>
    <row r="36" spans="1:4" ht="15" customHeight="1" x14ac:dyDescent="0.25">
      <c r="A36" s="19">
        <v>2052</v>
      </c>
      <c r="B36" s="43">
        <v>19.196000000000002</v>
      </c>
      <c r="C36" s="43">
        <v>18.600999999999999</v>
      </c>
      <c r="D36" s="5"/>
    </row>
    <row r="37" spans="1:4" ht="15" customHeight="1" x14ac:dyDescent="0.25">
      <c r="A37" s="19">
        <v>2053</v>
      </c>
      <c r="B37" s="43">
        <v>19.239999999999998</v>
      </c>
      <c r="C37" s="43">
        <v>18.646999999999998</v>
      </c>
      <c r="D37" s="5"/>
    </row>
    <row r="38" spans="1:4" ht="15" customHeight="1" x14ac:dyDescent="0.25">
      <c r="A38" s="19">
        <v>2054</v>
      </c>
      <c r="B38" s="43">
        <v>19.29</v>
      </c>
      <c r="C38" s="43">
        <v>18.704000000000001</v>
      </c>
      <c r="D38" s="5"/>
    </row>
    <row r="39" spans="1:4" ht="15" customHeight="1" x14ac:dyDescent="0.25">
      <c r="A39" s="19">
        <v>2055</v>
      </c>
      <c r="B39" s="43">
        <v>19.321999999999999</v>
      </c>
      <c r="C39" s="43">
        <v>18.741</v>
      </c>
      <c r="D39" s="5"/>
    </row>
    <row r="40" spans="1:4" ht="15" customHeight="1" x14ac:dyDescent="0.25">
      <c r="A40" s="160"/>
      <c r="B40" s="7"/>
      <c r="C40" s="7"/>
      <c r="D40" s="13"/>
    </row>
    <row r="41" spans="1:4" ht="14.25" customHeight="1" x14ac:dyDescent="0.25"/>
    <row r="42" spans="1:4" ht="17.25" customHeight="1" x14ac:dyDescent="0.25">
      <c r="A42" s="201" t="s">
        <v>26</v>
      </c>
      <c r="B42" s="201"/>
      <c r="C42" s="201"/>
    </row>
    <row r="43" spans="1:4" ht="15" customHeight="1" x14ac:dyDescent="0.25">
      <c r="A43" s="68"/>
      <c r="B43" s="68"/>
      <c r="C43" s="68"/>
    </row>
    <row r="44" spans="1:4" ht="15" customHeight="1" x14ac:dyDescent="0.25">
      <c r="A44" s="156"/>
      <c r="B44" s="156"/>
      <c r="C44" s="156"/>
    </row>
    <row r="45" spans="1:4" ht="15" customHeight="1" x14ac:dyDescent="0.25">
      <c r="A45" s="186" t="s">
        <v>23</v>
      </c>
    </row>
    <row r="47" spans="1:4" ht="15" customHeight="1" x14ac:dyDescent="0.25">
      <c r="A47" s="127"/>
      <c r="B47" s="127"/>
      <c r="C47" s="127"/>
      <c r="D47" s="127"/>
    </row>
  </sheetData>
  <mergeCells count="3">
    <mergeCell ref="A6:C6"/>
    <mergeCell ref="A5:C5"/>
    <mergeCell ref="A42:C42"/>
  </mergeCells>
  <hyperlinks>
    <hyperlink ref="A45" location="Contents!A1" display="Back to Table of Contents" xr:uid="{6914E855-4539-534A-92FC-6E75CAEAA85D}"/>
    <hyperlink ref="A2" r:id="rId1" xr:uid="{DBD1342B-8CF9-8C4C-8383-68B4D6453FC1}"/>
  </hyperlinks>
  <pageMargins left="0.7" right="0.7" top="0.75" bottom="0.75" header="0.3" footer="0.3"/>
  <pageSetup scale="74"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Contents</vt:lpstr>
      <vt:lpstr>1. Key Projections</vt:lpstr>
      <vt:lpstr>1a. Key Proj, Supp Data</vt:lpstr>
      <vt:lpstr>2. Debt and Deficits</vt:lpstr>
      <vt:lpstr>3. Outlays and Revenues</vt:lpstr>
      <vt:lpstr>4. Outlays, by Category</vt:lpstr>
      <vt:lpstr>5. Composition of Outlays</vt:lpstr>
      <vt:lpstr>6. Outlays for Health Care</vt:lpstr>
      <vt:lpstr>7. Growth in Outlays</vt:lpstr>
      <vt:lpstr>8. Revenues, by Source</vt:lpstr>
      <vt:lpstr>9. Income Tax Rates</vt:lpstr>
      <vt:lpstr>10. Population Growth</vt:lpstr>
      <vt:lpstr>11. Pop, by Age Group</vt:lpstr>
      <vt:lpstr>12. Key Econ Variables</vt:lpstr>
      <vt:lpstr>13. Add'l Econ Variables</vt:lpstr>
      <vt:lpstr>14. GDP Growth</vt:lpstr>
      <vt:lpstr>15. Interest Rates</vt:lpstr>
      <vt:lpstr>16. 2025&amp;2026 Econ Proj</vt:lpstr>
      <vt:lpstr>17. 2025&amp;2026 Lbr Force Proj</vt:lpstr>
      <vt:lpstr>18. 2025&amp;2026 Real GDP Proj</vt:lpstr>
      <vt:lpstr>19. 2025&amp;2026 Int Rate Proj</vt:lpstr>
      <vt:lpstr>20. 2025&amp;2026 Proj, Select Yrs</vt:lpstr>
      <vt:lpstr>21. 2025&amp;2026 Def &amp; Debt</vt:lpstr>
      <vt:lpstr>22. 2025&amp;2026 Outlay Proj</vt:lpstr>
      <vt:lpstr>23. 2025&amp;2026 Rev Proj</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2025-03-25T19:38:17Z</dcterms:created>
  <dcterms:modified xsi:type="dcterms:W3CDTF">2026-02-26T02:00:11Z</dcterms:modified>
  <cp:category/>
  <cp:contentStatus/>
</cp:coreProperties>
</file>